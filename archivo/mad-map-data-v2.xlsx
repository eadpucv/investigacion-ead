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8980" tabRatio="600" firstSheet="0" activeTab="2" autoFilterDateGrouping="1"/>
  </bookViews>
  <sheets>
    <sheet xmlns:r="http://schemas.openxmlformats.org/officeDocument/2006/relationships" name="00_Lectura" sheetId="1" state="visible" r:id="rId1"/>
    <sheet xmlns:r="http://schemas.openxmlformats.org/officeDocument/2006/relationships" name="01_Lineas" sheetId="2" state="visible" r:id="rId2"/>
    <sheet xmlns:r="http://schemas.openxmlformats.org/officeDocument/2006/relationships" name="02_Sublineas" sheetId="3" state="visible" r:id="rId3"/>
    <sheet xmlns:r="http://schemas.openxmlformats.org/officeDocument/2006/relationships" name="03_Areas" sheetId="4" state="visible" r:id="rId4"/>
    <sheet xmlns:r="http://schemas.openxmlformats.org/officeDocument/2006/relationships" name="04_Modos" sheetId="5" state="visible" r:id="rId5"/>
    <sheet xmlns:r="http://schemas.openxmlformats.org/officeDocument/2006/relationships" name="05_Salidas" sheetId="6" state="visible" r:id="rId6"/>
    <sheet xmlns:r="http://schemas.openxmlformats.org/officeDocument/2006/relationships" name="06_Laboratorios" sheetId="7" state="visible" r:id="rId7"/>
    <sheet xmlns:r="http://schemas.openxmlformats.org/officeDocument/2006/relationships" name="07_Investigadores" sheetId="8" state="visible" r:id="rId8"/>
    <sheet xmlns:r="http://schemas.openxmlformats.org/officeDocument/2006/relationships" name="08_Temas" sheetId="9" state="visible" r:id="rId9"/>
    <sheet xmlns:r="http://schemas.openxmlformats.org/officeDocument/2006/relationships" name="10_Lab_Linea" sheetId="10" state="visible" r:id="rId10"/>
    <sheet xmlns:r="http://schemas.openxmlformats.org/officeDocument/2006/relationships" name="11_Lab_Salida" sheetId="11" state="visible" r:id="rId11"/>
    <sheet xmlns:r="http://schemas.openxmlformats.org/officeDocument/2006/relationships" name="12_Investigador_Lab" sheetId="12" state="visible" r:id="rId12"/>
    <sheet xmlns:r="http://schemas.openxmlformats.org/officeDocument/2006/relationships" name="13_Investigador_Modo" sheetId="13" state="visible" r:id="rId13"/>
    <sheet xmlns:r="http://schemas.openxmlformats.org/officeDocument/2006/relationships" name="14_Linea_Modo" sheetId="14" state="visible" r:id="rId14"/>
    <sheet xmlns:r="http://schemas.openxmlformats.org/officeDocument/2006/relationships" name="15_Decisiones" sheetId="15" state="visible" r:id="rId15"/>
    <sheet xmlns:r="http://schemas.openxmlformats.org/officeDocument/2006/relationships" name="16_Resumen" sheetId="16" state="visible" r:id="rId16"/>
    <sheet xmlns:r="http://schemas.openxmlformats.org/officeDocument/2006/relationships" name="17_Sello" sheetId="17" state="visible" r:id="rId17"/>
    <sheet xmlns:r="http://schemas.openxmlformats.org/officeDocument/2006/relationships" name="18_Proximidad_Tematica" sheetId="18" state="visible" r:id="rId18"/>
    <sheet xmlns:r="http://schemas.openxmlformats.org/officeDocument/2006/relationships" name="19_Proyectos" sheetId="19" state="visible" r:id="rId19"/>
    <sheet xmlns:r="http://schemas.openxmlformats.org/officeDocument/2006/relationships" name="20_Productividad" sheetId="20" state="visible" r:id="rId20"/>
  </sheets>
  <definedNames>
    <definedName name="AreaNombres">OFFSET('03_Areas'!$B$5,0,0,COUNTA('03_Areas'!$B$5:$B$10000),1)</definedName>
    <definedName name="InvestigadorNombres">OFFSET('07_Investigadores'!$B$5,0,0,COUNTA('07_Investigadores'!$B$5:$B$10000),1)</definedName>
    <definedName name="LabNombres">OFFSET('06_Laboratorios'!$B$3,0,0,COUNTA('06_Laboratorios'!$B$3:$B$10000),1)</definedName>
    <definedName name="LineaNombres">OFFSET('01_Lineas'!$B$5,0,0,COUNTA('01_Lineas'!$B$5:$B$10000),1)</definedName>
    <definedName name="ModoNombres">OFFSET('04_Modos'!$B$3,0,0,COUNTA('04_Modos'!$B$3:$B$10000),1)</definedName>
    <definedName name="SalidaNombres">OFFSET('05_Salidas'!$B$5,0,0,COUNTA('05_Salidas'!$B$5:$B$10000),1)</definedName>
    <definedName name="SublineaNombres">OFFSET('02_Sublineas'!$B$5,0,0,COUNTA('02_Sublineas'!$B$5:$B$10000),1)</definedName>
    <definedName name="_xlnm._FilterDatabase" localSheetId="17" hidden="1">'18_Proximidad_Tematica'!$A$4:$G$90</definedName>
  </definedNames>
  <calcPr calcId="19102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Arial"/>
      <family val="2"/>
      <b val="1"/>
      <color rgb="FF111827"/>
      <sz val="18"/>
    </font>
    <font>
      <name val="Arial"/>
      <family val="2"/>
      <i val="1"/>
      <color rgb="FF6B7280"/>
      <sz val="10"/>
    </font>
    <font>
      <name val="Arial"/>
      <family val="2"/>
      <b val="1"/>
      <sz val="12"/>
    </font>
    <font>
      <name val="Arial"/>
      <family val="2"/>
      <b val="1"/>
      <sz val="11"/>
    </font>
    <font>
      <name val="Arial"/>
      <family val="2"/>
      <sz val="11"/>
    </font>
    <font>
      <name val="Arial"/>
      <family val="2"/>
      <b val="1"/>
      <color rgb="FF111827"/>
      <sz val="14"/>
    </font>
    <font>
      <name val="Arial"/>
      <family val="2"/>
      <b val="1"/>
      <color rgb="FFFFFFFF"/>
      <sz val="11"/>
    </font>
    <font>
      <name val="Arial"/>
      <family val="2"/>
      <sz val="10"/>
    </font>
    <font>
      <name val="Arial"/>
      <family val="2"/>
      <sz val="11"/>
    </font>
    <font>
      <name val="Calibri"/>
      <family val="2"/>
      <color theme="10"/>
      <sz val="11"/>
      <u val="single"/>
      <scheme val="minor"/>
    </font>
    <font>
      <name val="Arial"/>
      <family val="2"/>
      <i val="1"/>
      <color rgb="FF666666"/>
      <sz val="11"/>
    </font>
    <font>
      <b val="1"/>
      <sz val="13"/>
    </font>
    <font>
      <b val="1"/>
    </font>
  </fonts>
  <fills count="7">
    <fill>
      <patternFill/>
    </fill>
    <fill>
      <patternFill patternType="gray125"/>
    </fill>
    <fill>
      <patternFill patternType="solid">
        <fgColor rgb="FF1F2937"/>
      </patternFill>
    </fill>
    <fill>
      <patternFill patternType="solid">
        <fgColor rgb="FFFEF3C7"/>
      </patternFill>
    </fill>
    <fill>
      <patternFill patternType="solid">
        <fgColor rgb="FFDCFCE7"/>
      </patternFill>
    </fill>
    <fill>
      <patternFill patternType="solid">
        <fgColor rgb="FFF3F4F6"/>
      </patternFill>
    </fill>
    <fill>
      <patternFill patternType="solid">
        <fgColor rgb="FFEEEEEE"/>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1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2" borderId="1" applyAlignment="1" pivotButton="0" quotePrefix="0" xfId="0">
      <alignment horizontal="left" vertical="center" wrapText="1"/>
    </xf>
    <xf numFmtId="0" fontId="5" fillId="0" borderId="1" applyAlignment="1" pivotButton="0" quotePrefix="0" xfId="0">
      <alignment vertical="top" wrapText="1"/>
    </xf>
    <xf numFmtId="0" fontId="5" fillId="3" borderId="1" applyAlignment="1" pivotButton="0" quotePrefix="0" xfId="0">
      <alignment vertical="top" wrapText="1"/>
    </xf>
    <xf numFmtId="0" fontId="7" fillId="2" borderId="0" pivotButton="0" quotePrefix="0" xfId="0"/>
    <xf numFmtId="0" fontId="5" fillId="0" borderId="1" pivotButton="0" quotePrefix="0" xfId="0"/>
    <xf numFmtId="164" fontId="0" fillId="0" borderId="0" pivotButton="0" quotePrefix="0" xfId="0"/>
    <xf numFmtId="0" fontId="7" fillId="2" borderId="1" applyAlignment="1" pivotButton="0" quotePrefix="0" xfId="0">
      <alignment horizontal="left" vertical="center"/>
    </xf>
    <xf numFmtId="0" fontId="4" fillId="4" borderId="1" applyAlignment="1" pivotButton="0" quotePrefix="0" xfId="0">
      <alignment vertical="top" wrapText="1"/>
    </xf>
    <xf numFmtId="0" fontId="5" fillId="5" borderId="1" applyAlignment="1" pivotButton="0" quotePrefix="0" xfId="0">
      <alignment vertical="top" wrapText="1"/>
    </xf>
    <xf numFmtId="0" fontId="8" fillId="4" borderId="1" applyAlignment="1" pivotButton="0" quotePrefix="0" xfId="0">
      <alignment vertical="top" wrapText="1"/>
    </xf>
    <xf numFmtId="2" fontId="8" fillId="4" borderId="1" applyAlignment="1" pivotButton="0" quotePrefix="0" xfId="0">
      <alignment vertical="top" wrapText="1"/>
    </xf>
    <xf numFmtId="0" fontId="8" fillId="3" borderId="1" applyAlignment="1" pivotButton="0" quotePrefix="0" xfId="0">
      <alignment vertical="top" wrapText="1"/>
    </xf>
    <xf numFmtId="2" fontId="8" fillId="3" borderId="1" applyAlignment="1" pivotButton="0" quotePrefix="0" xfId="0">
      <alignment vertical="top" wrapText="1"/>
    </xf>
    <xf numFmtId="0" fontId="9" fillId="0" borderId="1" applyAlignment="1" pivotButton="0" quotePrefix="0" xfId="0">
      <alignment vertical="top" wrapText="1"/>
    </xf>
    <xf numFmtId="0" fontId="10" fillId="0" borderId="1" applyAlignment="1" pivotButton="0" quotePrefix="0" xfId="1">
      <alignment vertical="top" wrapText="1"/>
    </xf>
    <xf numFmtId="0" fontId="4" fillId="6" borderId="2" pivotButton="0" quotePrefix="0" xfId="0"/>
    <xf numFmtId="0" fontId="2" fillId="0" borderId="0" pivotButton="0" quotePrefix="0" xfId="0"/>
    <xf numFmtId="0" fontId="0" fillId="0" borderId="0" pivotButton="0" quotePrefix="0" xfId="0"/>
    <xf numFmtId="0" fontId="6" fillId="0" borderId="0" pivotButton="0" quotePrefix="0" xfId="0"/>
    <xf numFmtId="0" fontId="3" fillId="0" borderId="0" pivotButton="0" quotePrefix="0" xfId="0"/>
    <xf numFmtId="0" fontId="11" fillId="0" borderId="0" applyAlignment="1" pivotButton="0" quotePrefix="0" xfId="0">
      <alignment vertical="top" wrapText="1"/>
    </xf>
    <xf numFmtId="0" fontId="2" fillId="0" borderId="0" applyAlignment="1" pivotButton="0" quotePrefix="0" xfId="0">
      <alignment vertical="top" wrapText="1"/>
    </xf>
    <xf numFmtId="0" fontId="12" fillId="0" borderId="0" pivotButton="0" quotePrefix="0" xfId="0"/>
    <xf numFmtId="0" fontId="13" fillId="0" borderId="0" pivotButton="0" quotePrefix="0" xfId="0"/>
  </cellXfs>
  <cellStyles count="2">
    <cellStyle name="Normal" xfId="0" builtinId="0"/>
    <cellStyle name="Hipervínculo"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10" defaultColWidth="8.83203125" defaultRowHeight="15"/>
  <cols>
    <col width="30" customWidth="1" style="24" min="1" max="1"/>
    <col width="110" customWidth="1" style="24" min="2" max="2"/>
  </cols>
  <sheetData>
    <row r="1" ht="23" customHeight="1" s="24">
      <c r="A1" s="1" t="inlineStr">
        <is>
          <t>MAD-map · Estructura de datos v2</t>
        </is>
      </c>
    </row>
    <row r="2">
      <c r="A2" s="23" t="inlineStr">
        <is>
          <t>Régimen de dos líneas de investigación (septiembre 2026), cada una con polo teórico y polo proyectual, sostenidas por Laboratorios + sublíneas + temas.</t>
        </is>
      </c>
    </row>
    <row r="3"/>
    <row r="4" ht="16" customHeight="1" s="24">
      <c r="A4" s="26" t="inlineStr">
        <is>
          <t>Modelo relacional</t>
        </is>
      </c>
    </row>
    <row r="5">
      <c r="A5" s="4" t="inlineStr">
        <is>
          <t>Línea (2)</t>
        </is>
      </c>
      <c r="B5" s="5" t="inlineStr">
        <is>
          <t>Estructura superior: Fundamentos disciplinares (acerca del proyecto) y Prácticas proyectuales (a través del proyecto), cada una con polo teórico y polo proyectual.</t>
        </is>
      </c>
    </row>
    <row r="6">
      <c r="A6" s="4" t="inlineStr">
        <is>
          <t>Sublínea (53)</t>
        </is>
      </c>
      <c r="B6" s="5" t="inlineStr">
        <is>
          <t>Pertenece a UNA sola Línea y a un polo (teórico o proyectual). Granularidad operativa.</t>
        </is>
      </c>
    </row>
    <row r="7">
      <c r="A7" s="4" t="inlineStr">
        <is>
          <t>Tema declarado (~150)</t>
        </is>
      </c>
      <c r="B7" s="5" t="inlineStr">
        <is>
          <t>Tema textual del perfil de un investigador. Puede colgar de varias Sublíneas (m:n).</t>
        </is>
      </c>
    </row>
    <row r="8">
      <c r="A8" s="4" t="inlineStr">
        <is>
          <t>Investigador</t>
        </is>
      </c>
      <c r="B8" s="5" t="inlineStr">
        <is>
          <t>Profesor de la EAD-PUCV. Ancla los Temas. Afilia a Áreas, Labs y Modos.</t>
        </is>
      </c>
    </row>
    <row r="9">
      <c r="A9" s="4" t="inlineStr">
        <is>
          <t>Área del Postgrado</t>
        </is>
      </c>
      <c r="B9" s="5" t="inlineStr">
        <is>
          <t>ECH / EAA / FCT. Eje ortogonal — marco amplio, no contenedor jerárquico.</t>
        </is>
      </c>
    </row>
    <row r="10">
      <c r="A10" s="4" t="inlineStr">
        <is>
          <t>Modo de investigar</t>
        </is>
      </c>
      <c r="B10" s="5" t="inlineStr">
        <is>
          <t>Historiografía / Teoría crítica / Investigación proyectual. Atributo del Investigador y de la Línea.</t>
        </is>
      </c>
    </row>
    <row r="11">
      <c r="A11" s="4" t="inlineStr">
        <is>
          <t>Laboratorio (5)</t>
        </is>
      </c>
      <c r="B11" s="5" t="inlineStr">
        <is>
          <t>Grupo asociativo. Sostiene 1+ Líneas (m:n). Operacionaliza Salidas.</t>
        </is>
      </c>
    </row>
    <row r="12">
      <c r="A12" s="4" t="inlineStr">
        <is>
          <t>Salida</t>
        </is>
      </c>
      <c r="B12" s="5" t="inlineStr">
        <is>
          <t>Industria / Academia / Estado. Producida por Laboratorios.</t>
        </is>
      </c>
    </row>
    <row r="13"/>
    <row r="14" ht="16" customHeight="1" s="24">
      <c r="A14" t="inlineStr">
        <is>
          <t>Proyecto</t>
        </is>
      </c>
      <c r="B14" t="inlineStr">
        <is>
          <t>Proyecto de investigación o creación 2014-2026 (hoja 19_Proyectos). Pertenece a una Sublínea; participan uno o más Investigadores. La productividad por profesor está en 20_Productividad.</t>
        </is>
      </c>
    </row>
    <row r="15">
      <c r="A15" s="26" t="inlineStr">
        <is>
          <t>Convenciones</t>
        </is>
      </c>
    </row>
    <row r="16">
      <c r="A16" s="4" t="inlineStr">
        <is>
          <t>BORRADOR (fondo amarillo)</t>
        </is>
      </c>
      <c r="B16" s="5" t="inlineStr">
        <is>
          <t>Filas o celdas con valores propuestos por revisar. Los mapeos m:n y la asignación de proyectos a sublíneas (19_Proyectos) están sujetos a curaduría.</t>
        </is>
      </c>
    </row>
    <row r="17">
      <c r="A17" s="4" t="inlineStr">
        <is>
          <t>IDs</t>
        </is>
      </c>
      <c r="B17" s="5" t="inlineStr">
        <is>
          <t>LIN-NN, SUB-NN, TEM-NNN, INV-NN, LAB-XXX, MOD-NN, SAL-XXX. Estables — no renombrar tras enlazar.</t>
        </is>
      </c>
    </row>
    <row r="18">
      <c r="A18" s="4" t="inlineStr">
        <is>
          <t>Cardinalidad Sublínea→Línea</t>
        </is>
      </c>
      <c r="B18" s="5" t="inlineStr">
        <is>
          <t>1:N estricta (una Sublínea pertenece a UNA Línea). Cambia el linea_id si el ajuste lo amerita.</t>
        </is>
      </c>
    </row>
    <row r="19">
      <c r="A19" s="4" t="inlineStr">
        <is>
          <t>Cardinalidad Tema→Sublínea</t>
        </is>
      </c>
      <c r="B19" s="5" t="inlineStr">
        <is>
          <t>M:N (un Tema puede colgar de varias Sublíneas). Editar en la hoja 08_Temas (cada fila atribuye un tema a una sublínea y un investigador).</t>
        </is>
      </c>
    </row>
    <row r="20">
      <c r="A20" s="4" t="inlineStr">
        <is>
          <t>Cardinalidad Lab→Línea</t>
        </is>
      </c>
      <c r="B20" s="5" t="inlineStr">
        <is>
          <t>M:N. Un Lab puede sostener varias Líneas. Editar en 10_Lab_Linea.</t>
        </is>
      </c>
    </row>
    <row r="21">
      <c r="A21" s="4" t="inlineStr">
        <is>
          <t>Decisiones pendientes</t>
        </is>
      </c>
      <c r="B21" s="5" t="inlineStr">
        <is>
          <t>Hoja 15_Decisiones — preguntas abiertas que afectan el modelo.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D1"/>
    </sheetView>
  </sheetViews>
  <sheetFormatPr baseColWidth="10" defaultColWidth="8.83203125" defaultRowHeight="15"/>
  <cols>
    <col width="12" customWidth="1" style="24" min="1" max="1"/>
    <col width="55" customWidth="1" style="24" min="2" max="2"/>
    <col width="95" customWidth="1" style="24" min="3" max="3"/>
    <col width="26" customWidth="1" style="24" min="4" max="4"/>
    <col width="60" customWidth="1" style="24" min="6" max="6"/>
  </cols>
  <sheetData>
    <row r="1" ht="18" customHeight="1" s="24">
      <c r="A1" s="25" t="inlineStr">
        <is>
          <t>01 · Líneas de investigación (2, nombres adoptados en octubre de 2026)</t>
        </is>
      </c>
    </row>
    <row r="2">
      <c r="A2" s="23" t="inlineStr">
        <is>
          <t>Dos líneas simétricas, cada una con polo teórico y polo proyectual. Cada Sublínea pertenece a una Línea y a un polo. 'bajada' es la definición breve que muestra la visualización; 'descripción' es el alcance completo.</t>
        </is>
      </c>
    </row>
    <row r="4">
      <c r="A4" s="7" t="inlineStr">
        <is>
          <t>id</t>
        </is>
      </c>
      <c r="B4" s="7" t="inlineStr">
        <is>
          <t>nombre</t>
        </is>
      </c>
      <c r="C4" s="7" t="inlineStr">
        <is>
          <t>descripción</t>
        </is>
      </c>
      <c r="D4" s="7" t="inlineStr">
        <is>
          <t>estado</t>
        </is>
      </c>
      <c r="E4" s="30" t="inlineStr">
        <is>
          <t>modo</t>
        </is>
      </c>
      <c r="F4" s="30" t="inlineStr">
        <is>
          <t>bajada</t>
        </is>
      </c>
    </row>
    <row r="5" ht="45" customHeight="1" s="24">
      <c r="A5" s="8" t="inlineStr">
        <is>
          <t>LIN-01</t>
        </is>
      </c>
      <c r="B5" s="8" t="inlineStr">
        <is>
          <t>Fundamentos disciplinares</t>
        </is>
      </c>
      <c r="C5" s="8" t="inlineStr">
        <is>
          <t>Investigación acerca del proyecto de arquitectura y de diseño: los fundamentos sobre los que se funda la disciplina (su historia, su teoría, su filosofía y sus métodos) y el modo en que se dominan y se transmiten en la formación. Acervo de la e[ad] y Ciudad Abierta, historia y crítica de la arquitectura y del diseño, teoría del proyecto y sus categorías (hospitalidad, vacío, palabra poética), espacios y medios del aprendizaje, métodos de diseño, interacción, accesibilidad, fabricación y tecnologías. Forma a quienes enseñarán arquitectura y diseño. Polo teórico e histórico y polo proyectual.</t>
        </is>
      </c>
      <c r="D5" s="8" t="inlineStr">
        <is>
          <t>nombre adoptado 29 sep 2026</t>
        </is>
      </c>
      <c r="E5" t="inlineStr">
        <is>
          <t>Investigación acerca del proyecto</t>
        </is>
      </c>
      <c r="F5" t="inlineStr">
        <is>
          <t>Lo que sostiene a la disciplina (su historia, su teoría, su filosofía y sus métodos) y cómo se domina y se transmite en la formación.</t>
        </is>
      </c>
    </row>
    <row r="6" ht="45" customHeight="1" s="24">
      <c r="A6" s="8" t="inlineStr">
        <is>
          <t>LIN-02</t>
        </is>
      </c>
      <c r="B6" s="8" t="inlineStr">
        <is>
          <t>Prácticas proyectuales</t>
        </is>
      </c>
      <c r="C6" s="8" t="inlineStr">
        <is>
          <t>Investigación a través del proyecto de arquitectura y de diseño: obra nueva (un edificio, un espacio público, un objeto, un servicio, un sistema) que se inscribe en un contexto y lo modifica, con la ciudad, el territorio y sus ecologías como campo principal: urbanización, ecología política, vivienda, patrimonio, borde costero, infraestructura y equipamiento, prácticas colectivas, urbanismo afectivo, diseño social y territorial. Polo teórico (teoría urbana, ecología política, vivienda) y polo proyectual (equipamiento, investigación-acción, creación de obra).</t>
        </is>
      </c>
      <c r="D6" s="8" t="inlineStr">
        <is>
          <t>nombre adoptado 6 oct 2026</t>
        </is>
      </c>
      <c r="E6" t="inlineStr">
        <is>
          <t>Investigación a través del proyecto</t>
        </is>
      </c>
      <c r="F6" t="inlineStr">
        <is>
          <t>Obra nueva (un edificio, un espacio público, un objeto, un servicio, un sistema) que se inscribe en un contexto y lo modifica.</t>
        </is>
      </c>
    </row>
    <row r="7" ht="45" customHeight="1" s="24">
      <c r="A7" s="8" t="n"/>
      <c r="B7" s="8" t="n"/>
      <c r="C7" s="8" t="n"/>
      <c r="D7" s="8" t="n"/>
    </row>
    <row r="8" ht="30" customHeight="1" s="24">
      <c r="A8" s="8" t="n"/>
      <c r="B8" s="8" t="n"/>
      <c r="C8" s="8" t="n"/>
      <c r="D8" s="8" t="n"/>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7"/>
  <sheetViews>
    <sheetView tabSelected="1" workbookViewId="0">
      <pane ySplit="4" topLeftCell="A13" activePane="bottomLeft" state="frozen"/>
      <selection pane="bottomLeft" activeCell="E16" sqref="E16"/>
    </sheetView>
  </sheetViews>
  <sheetFormatPr baseColWidth="10" defaultColWidth="8.83203125" defaultRowHeight="15"/>
  <cols>
    <col width="10" customWidth="1" style="24" min="1" max="1"/>
    <col width="55" customWidth="1" style="24" min="2" max="2"/>
    <col width="21.33203125" customWidth="1" style="24" min="3" max="3"/>
    <col width="23.33203125" customWidth="1" style="24" min="4" max="4"/>
    <col width="50" customWidth="1" style="24" min="5" max="5"/>
  </cols>
  <sheetData>
    <row r="1" ht="18" customHeight="1" s="24">
      <c r="A1" s="25" t="inlineStr">
        <is>
          <t>02 · Sublíneas (banco depurado, ~30)</t>
        </is>
      </c>
    </row>
    <row r="2">
      <c r="A2" s="23" t="inlineStr">
        <is>
          <t>Cada sublínea pertenece a UNA línea y a UN polo. Reasignación de septiembre 2026 (dos líneas); revisar caso por caso.</t>
        </is>
      </c>
    </row>
    <row r="4">
      <c r="A4" s="7" t="inlineStr">
        <is>
          <t>id</t>
        </is>
      </c>
      <c r="B4" s="7" t="inlineStr">
        <is>
          <t>nombre</t>
        </is>
      </c>
      <c r="C4" s="7" t="inlineStr">
        <is>
          <t>línea</t>
        </is>
      </c>
      <c r="D4" s="7" t="inlineStr">
        <is>
          <t>área</t>
        </is>
      </c>
      <c r="E4" s="7" t="inlineStr">
        <is>
          <t>notas</t>
        </is>
      </c>
      <c r="F4" t="inlineStr">
        <is>
          <t>polo</t>
        </is>
      </c>
    </row>
    <row r="5" ht="60" customHeight="1" s="24">
      <c r="A5" s="8" t="inlineStr">
        <is>
          <t>SUB-01</t>
        </is>
      </c>
      <c r="B5" s="8" t="inlineStr">
        <is>
          <t>Accesibilidad cognitiva y codiseño</t>
        </is>
      </c>
      <c r="C5" s="8" t="inlineStr">
        <is>
          <t>Fundamentos disciplinares</t>
        </is>
      </c>
      <c r="D5" s="8" t="inlineStr">
        <is>
          <t>Forma, Cultura y Tecnología</t>
        </is>
      </c>
      <c r="E5" s="8" t="n"/>
      <c r="F5" t="inlineStr">
        <is>
          <t>proyectual</t>
        </is>
      </c>
    </row>
    <row r="6" ht="60" customHeight="1" s="24">
      <c r="A6" s="8" t="inlineStr">
        <is>
          <t>SUB-02</t>
        </is>
      </c>
      <c r="B6" s="8" t="inlineStr">
        <is>
          <t>Accesibilidad e inclusión</t>
        </is>
      </c>
      <c r="C6" s="8" t="inlineStr">
        <is>
          <t>Fundamentos disciplinares</t>
        </is>
      </c>
      <c r="D6" s="8" t="inlineStr">
        <is>
          <t>Forma, Cultura y Tecnología</t>
        </is>
      </c>
      <c r="E6" s="8" t="n"/>
      <c r="F6" t="inlineStr">
        <is>
          <t>proyectual</t>
        </is>
      </c>
    </row>
    <row r="7" ht="30" customHeight="1" s="24">
      <c r="A7" s="8" t="inlineStr">
        <is>
          <t>SUB-03</t>
        </is>
      </c>
      <c r="B7" s="8" t="inlineStr">
        <is>
          <t>Acervo histórico de Ciudad Abierta y de la Escuela de Arquitectura y Diseño</t>
        </is>
      </c>
      <c r="C7" s="8" t="inlineStr">
        <is>
          <t>Fundamentos disciplinares</t>
        </is>
      </c>
      <c r="D7" s="8" t="inlineStr">
        <is>
          <t>Educación, Espacio y Aprendizaje</t>
        </is>
      </c>
      <c r="E7" s="8" t="n"/>
      <c r="F7" t="inlineStr">
        <is>
          <t>teórico</t>
        </is>
      </c>
    </row>
    <row r="8" ht="60" customHeight="1" s="24">
      <c r="A8" s="8" t="inlineStr">
        <is>
          <t>SUB-04</t>
        </is>
      </c>
      <c r="B8" s="8" t="inlineStr">
        <is>
          <t>Adaptabilidad urbana ante riesgos costeros</t>
        </is>
      </c>
      <c r="C8" s="8" t="inlineStr">
        <is>
          <t>Prácticas proyectuales</t>
        </is>
      </c>
      <c r="D8" s="8" t="inlineStr">
        <is>
          <t>Extensión, Ciudad y Habitabilidad</t>
        </is>
      </c>
      <c r="E8" s="8" t="n"/>
      <c r="F8" t="inlineStr">
        <is>
          <t>proyectual</t>
        </is>
      </c>
    </row>
    <row r="9" ht="60" customHeight="1" s="24">
      <c r="A9" s="8" t="inlineStr">
        <is>
          <t>SUB-05</t>
        </is>
      </c>
      <c r="B9" s="8" t="inlineStr">
        <is>
          <t>Adaptación formal ante desastres</t>
        </is>
      </c>
      <c r="C9" s="8" t="inlineStr">
        <is>
          <t>Prácticas proyectuales</t>
        </is>
      </c>
      <c r="D9" s="8" t="inlineStr">
        <is>
          <t>Extensión, Ciudad y Habitabilidad</t>
        </is>
      </c>
      <c r="E9" s="8" t="n"/>
      <c r="F9" t="inlineStr">
        <is>
          <t>proyectual</t>
        </is>
      </c>
    </row>
    <row r="10" ht="75" customHeight="1" s="24">
      <c r="A10" s="8" t="inlineStr">
        <is>
          <t>SUB-06</t>
        </is>
      </c>
      <c r="B10" s="8" t="inlineStr">
        <is>
          <t>Arquitectura como medio didáctico</t>
        </is>
      </c>
      <c r="C10" s="8" t="inlineStr">
        <is>
          <t>Fundamentos disciplinares</t>
        </is>
      </c>
      <c r="D10" s="8" t="inlineStr">
        <is>
          <t>Educación, Espacio y Aprendizaje</t>
        </is>
      </c>
      <c r="E10" s="8" t="inlineStr">
        <is>
          <t>migró a LIN-04 (aprendizaje proyectual)</t>
        </is>
      </c>
      <c r="F10" t="inlineStr">
        <is>
          <t>proyectual</t>
        </is>
      </c>
    </row>
    <row r="11" ht="60" customHeight="1" s="24">
      <c r="A11" s="8" t="inlineStr">
        <is>
          <t>SUB-07</t>
        </is>
      </c>
      <c r="B11" s="8" t="inlineStr">
        <is>
          <t>Comunicación aumentativa y alternativa</t>
        </is>
      </c>
      <c r="C11" s="8" t="inlineStr">
        <is>
          <t>Fundamentos disciplinares</t>
        </is>
      </c>
      <c r="D11" s="8" t="inlineStr">
        <is>
          <t>Forma, Cultura y Tecnología</t>
        </is>
      </c>
      <c r="E11" s="8" t="n"/>
      <c r="F11" t="inlineStr">
        <is>
          <t>proyectual</t>
        </is>
      </c>
    </row>
    <row r="12" ht="75" customHeight="1" s="24">
      <c r="A12" s="8" t="inlineStr">
        <is>
          <t>SUB-08</t>
        </is>
      </c>
      <c r="B12" s="8" t="inlineStr">
        <is>
          <t>Diseño arquitectónico</t>
        </is>
      </c>
      <c r="C12" s="8" t="inlineStr">
        <is>
          <t>Fundamentos disciplinares</t>
        </is>
      </c>
      <c r="D12" s="8" t="inlineStr">
        <is>
          <t>Educación, Espacio y Aprendizaje</t>
        </is>
      </c>
      <c r="E12" s="8" t="n"/>
      <c r="F12" t="inlineStr">
        <is>
          <t>teórico</t>
        </is>
      </c>
    </row>
    <row r="13" ht="75" customHeight="1" s="24">
      <c r="A13" s="8" t="inlineStr">
        <is>
          <t>SUB-09</t>
        </is>
      </c>
      <c r="B13" s="8" t="inlineStr">
        <is>
          <t>Diseño de espacios educativos</t>
        </is>
      </c>
      <c r="C13" s="8" t="inlineStr">
        <is>
          <t>Fundamentos disciplinares</t>
        </is>
      </c>
      <c r="D13" s="8" t="inlineStr">
        <is>
          <t>Educación, Espacio y Aprendizaje</t>
        </is>
      </c>
      <c r="E13" s="8" t="inlineStr">
        <is>
          <t>migró a LIN-04</t>
        </is>
      </c>
      <c r="F13" t="inlineStr">
        <is>
          <t>proyectual</t>
        </is>
      </c>
    </row>
    <row r="14" ht="60" customHeight="1" s="24">
      <c r="A14" s="8" t="inlineStr">
        <is>
          <t>SUB-10</t>
        </is>
      </c>
      <c r="B14" s="8" t="inlineStr">
        <is>
          <t>Diseño de interacción, servicios y experiencia de usuario</t>
        </is>
      </c>
      <c r="C14" s="8" t="inlineStr">
        <is>
          <t>Fundamentos disciplinares</t>
        </is>
      </c>
      <c r="D14" s="8" t="inlineStr">
        <is>
          <t>Forma, Cultura y Tecnología</t>
        </is>
      </c>
      <c r="E14" s="8" t="n"/>
      <c r="F14" t="inlineStr">
        <is>
          <t>proyectual</t>
        </is>
      </c>
    </row>
    <row r="15" ht="60" customHeight="1" s="24">
      <c r="A15" s="8" t="inlineStr">
        <is>
          <t>SUB-11</t>
        </is>
      </c>
      <c r="B15" s="8" t="inlineStr">
        <is>
          <t>Diseño y vida independiente</t>
        </is>
      </c>
      <c r="C15" s="8" t="inlineStr">
        <is>
          <t>Fundamentos disciplinares</t>
        </is>
      </c>
      <c r="D15" s="8" t="inlineStr">
        <is>
          <t>Forma, Cultura y Tecnología</t>
        </is>
      </c>
      <c r="E15" s="8" t="n"/>
      <c r="F15" t="inlineStr">
        <is>
          <t>proyectual</t>
        </is>
      </c>
    </row>
    <row r="16" ht="75" customHeight="1" s="24">
      <c r="A16" s="8" t="inlineStr">
        <is>
          <t>SUB-12</t>
        </is>
      </c>
      <c r="B16" s="8" t="inlineStr">
        <is>
          <t>El sentido de la hospitalidad</t>
        </is>
      </c>
      <c r="C16" s="8" t="inlineStr">
        <is>
          <t>Fundamentos disciplinares</t>
        </is>
      </c>
      <c r="D16" s="8" t="inlineStr">
        <is>
          <t>Educación, Espacio y Aprendizaje</t>
        </is>
      </c>
      <c r="E16" s="8" t="n"/>
      <c r="F16" t="inlineStr">
        <is>
          <t>teórico</t>
        </is>
      </c>
    </row>
    <row r="17" ht="75" customHeight="1" s="24">
      <c r="A17" s="8" t="inlineStr">
        <is>
          <t>SUB-13</t>
        </is>
      </c>
      <c r="B17" s="8" t="inlineStr">
        <is>
          <t>El vacío arquitectónico</t>
        </is>
      </c>
      <c r="C17" s="8" t="inlineStr">
        <is>
          <t>Fundamentos disciplinares</t>
        </is>
      </c>
      <c r="D17" s="8" t="inlineStr">
        <is>
          <t>Educación, Espacio y Aprendizaje</t>
        </is>
      </c>
      <c r="E17" s="8" t="n"/>
      <c r="F17" t="inlineStr">
        <is>
          <t>teórico</t>
        </is>
      </c>
    </row>
    <row r="18" ht="75" customHeight="1" s="24">
      <c r="A18" s="8" t="inlineStr">
        <is>
          <t>SUB-14</t>
        </is>
      </c>
      <c r="B18" s="8" t="inlineStr">
        <is>
          <t>Espacios de aprendizaje en contextos vulnerables</t>
        </is>
      </c>
      <c r="C18" s="8" t="inlineStr">
        <is>
          <t>Fundamentos disciplinares</t>
        </is>
      </c>
      <c r="D18" s="8" t="inlineStr">
        <is>
          <t>Educación, Espacio y Aprendizaje</t>
        </is>
      </c>
      <c r="E18" s="8" t="inlineStr">
        <is>
          <t>migró a LIN-04</t>
        </is>
      </c>
      <c r="F18" t="inlineStr">
        <is>
          <t>proyectual</t>
        </is>
      </c>
    </row>
    <row r="19" ht="75" customHeight="1" s="24">
      <c r="A19" s="8" t="inlineStr">
        <is>
          <t>SUB-15</t>
        </is>
      </c>
      <c r="B19" s="8" t="inlineStr">
        <is>
          <t>Espacios de estimulación temprana</t>
        </is>
      </c>
      <c r="C19" s="8" t="inlineStr">
        <is>
          <t>Fundamentos disciplinares</t>
        </is>
      </c>
      <c r="D19" s="8" t="inlineStr">
        <is>
          <t>Educación, Espacio y Aprendizaje</t>
        </is>
      </c>
      <c r="E19" s="8" t="inlineStr">
        <is>
          <t>migró a LIN-04</t>
        </is>
      </c>
      <c r="F19" t="inlineStr">
        <is>
          <t>proyectual</t>
        </is>
      </c>
    </row>
    <row r="20" ht="75" customHeight="1" s="24">
      <c r="A20" s="8" t="inlineStr">
        <is>
          <t>SUB-16</t>
        </is>
      </c>
      <c r="B20" s="8" t="inlineStr">
        <is>
          <t>Espacios educativos en contextos vulnerables</t>
        </is>
      </c>
      <c r="C20" s="8" t="inlineStr">
        <is>
          <t>Fundamentos disciplinares</t>
        </is>
      </c>
      <c r="D20" s="8" t="inlineStr">
        <is>
          <t>Educación, Espacio y Aprendizaje</t>
        </is>
      </c>
      <c r="E20" s="8" t="inlineStr">
        <is>
          <t>migró a LIN-04</t>
        </is>
      </c>
      <c r="F20" t="inlineStr">
        <is>
          <t>proyectual</t>
        </is>
      </c>
    </row>
    <row r="21" ht="60" customHeight="1" s="24">
      <c r="A21" s="8" t="inlineStr">
        <is>
          <t>SUB-17</t>
        </is>
      </c>
      <c r="B21" s="8" t="inlineStr">
        <is>
          <t>Formación en pensamiento y acción creativa</t>
        </is>
      </c>
      <c r="C21" s="8" t="inlineStr">
        <is>
          <t>Fundamentos disciplinares</t>
        </is>
      </c>
      <c r="D21" s="8" t="inlineStr">
        <is>
          <t>Forma, Cultura y Tecnología</t>
        </is>
      </c>
      <c r="E21" s="8" t="n"/>
      <c r="F21" t="inlineStr">
        <is>
          <t>proyectual</t>
        </is>
      </c>
    </row>
    <row r="22" ht="60" customHeight="1" s="24">
      <c r="A22" s="8" t="inlineStr">
        <is>
          <t>SUB-18</t>
        </is>
      </c>
      <c r="B22" s="8" t="inlineStr">
        <is>
          <t>Industrias creativas e innovación social para el desarrollo local</t>
        </is>
      </c>
      <c r="C22" s="8" t="inlineStr">
        <is>
          <t>Fundamentos disciplinares</t>
        </is>
      </c>
      <c r="D22" s="8" t="inlineStr">
        <is>
          <t>Forma, Cultura y Tecnología</t>
        </is>
      </c>
      <c r="E22" s="8" t="n"/>
      <c r="F22" t="inlineStr">
        <is>
          <t>proyectual</t>
        </is>
      </c>
    </row>
    <row r="23" ht="75" customHeight="1" s="24">
      <c r="A23" s="8" t="inlineStr">
        <is>
          <t>SUB-19</t>
        </is>
      </c>
      <c r="B23" s="8" t="inlineStr">
        <is>
          <t>Medios de aprendizaje en arquitectura y diseño</t>
        </is>
      </c>
      <c r="C23" s="8" t="inlineStr">
        <is>
          <t>Fundamentos disciplinares</t>
        </is>
      </c>
      <c r="D23" s="8" t="inlineStr">
        <is>
          <t>Educación, Espacio y Aprendizaje</t>
        </is>
      </c>
      <c r="E23" s="8" t="inlineStr">
        <is>
          <t>migró a LIN-04</t>
        </is>
      </c>
      <c r="F23" t="inlineStr">
        <is>
          <t>proyectual</t>
        </is>
      </c>
    </row>
    <row r="24" ht="60" customHeight="1" s="24">
      <c r="A24" s="8" t="inlineStr">
        <is>
          <t>SUB-20</t>
        </is>
      </c>
      <c r="B24" s="8" t="inlineStr">
        <is>
          <t>Métodos de diseño</t>
        </is>
      </c>
      <c r="C24" s="8" t="inlineStr">
        <is>
          <t>Fundamentos disciplinares</t>
        </is>
      </c>
      <c r="D24" s="8" t="inlineStr">
        <is>
          <t>Forma, Cultura y Tecnología</t>
        </is>
      </c>
      <c r="E24" s="8" t="n"/>
      <c r="F24" t="inlineStr">
        <is>
          <t>proyectual</t>
        </is>
      </c>
    </row>
    <row r="25" ht="60" customHeight="1" s="24">
      <c r="A25" s="8" t="inlineStr">
        <is>
          <t>SUB-21</t>
        </is>
      </c>
      <c r="B25" s="8" t="inlineStr">
        <is>
          <t>Perspectivas decoloniales</t>
        </is>
      </c>
      <c r="C25" s="8" t="inlineStr">
        <is>
          <t>Prácticas proyectuales</t>
        </is>
      </c>
      <c r="D25" s="8" t="inlineStr">
        <is>
          <t>Forma, Cultura y Tecnología</t>
        </is>
      </c>
      <c r="E25" s="8" t="inlineStr">
        <is>
          <t>podría leerse en LIN-01 según énfasis</t>
        </is>
      </c>
      <c r="F25" t="inlineStr">
        <is>
          <t>teórico</t>
        </is>
      </c>
    </row>
    <row r="26" ht="75" customHeight="1" s="24">
      <c r="A26" s="8" t="inlineStr">
        <is>
          <t>SUB-22</t>
        </is>
      </c>
      <c r="B26" s="8" t="inlineStr">
        <is>
          <t>Prácticas colectivas</t>
        </is>
      </c>
      <c r="C26" s="8" t="inlineStr">
        <is>
          <t>Prácticas proyectuales</t>
        </is>
      </c>
      <c r="D26" s="8" t="inlineStr">
        <is>
          <t>Educación, Espacio y Aprendizaje</t>
        </is>
      </c>
      <c r="E26" s="8" t="inlineStr">
        <is>
          <t>transversal — colocar donde tenga más respaldo</t>
        </is>
      </c>
      <c r="F26" t="inlineStr">
        <is>
          <t>proyectual</t>
        </is>
      </c>
    </row>
    <row r="27" ht="75" customHeight="1" s="24">
      <c r="A27" s="8" t="inlineStr">
        <is>
          <t>SUB-23</t>
        </is>
      </c>
      <c r="B27" s="8" t="inlineStr">
        <is>
          <t>Programas educativos y espacios escolares</t>
        </is>
      </c>
      <c r="C27" s="8" t="inlineStr">
        <is>
          <t>Fundamentos disciplinares</t>
        </is>
      </c>
      <c r="D27" s="8" t="inlineStr">
        <is>
          <t>Educación, Espacio y Aprendizaje</t>
        </is>
      </c>
      <c r="E27" s="8" t="inlineStr">
        <is>
          <t>migró a LIN-04</t>
        </is>
      </c>
      <c r="F27" t="inlineStr">
        <is>
          <t>proyectual</t>
        </is>
      </c>
    </row>
    <row r="28" ht="75" customHeight="1" s="24">
      <c r="A28" s="8" t="inlineStr">
        <is>
          <t>SUB-24</t>
        </is>
      </c>
      <c r="B28" s="8" t="inlineStr">
        <is>
          <t>Proyecto de arquitectura escolar</t>
        </is>
      </c>
      <c r="C28" s="8" t="inlineStr">
        <is>
          <t>Fundamentos disciplinares</t>
        </is>
      </c>
      <c r="D28" s="8" t="inlineStr">
        <is>
          <t>Educación, Espacio y Aprendizaje</t>
        </is>
      </c>
      <c r="E28" s="8" t="inlineStr">
        <is>
          <t>migró a LIN-04</t>
        </is>
      </c>
      <c r="F28" t="inlineStr">
        <is>
          <t>proyectual</t>
        </is>
      </c>
    </row>
    <row r="29" ht="60" customHeight="1" s="24">
      <c r="A29" s="8" t="inlineStr">
        <is>
          <t>SUB-25</t>
        </is>
      </c>
      <c r="B29" s="8" t="inlineStr">
        <is>
          <t>Saberes técnicos análogos</t>
        </is>
      </c>
      <c r="C29" s="8" t="inlineStr">
        <is>
          <t>Fundamentos disciplinares</t>
        </is>
      </c>
      <c r="D29" s="8" t="inlineStr">
        <is>
          <t>Forma, Cultura y Tecnología</t>
        </is>
      </c>
      <c r="E29" s="8" t="n"/>
      <c r="F29" t="inlineStr">
        <is>
          <t>proyectual</t>
        </is>
      </c>
    </row>
    <row r="30" ht="75" customHeight="1" s="24">
      <c r="A30" s="8" t="inlineStr">
        <is>
          <t>SUB-26</t>
        </is>
      </c>
      <c r="B30" s="8" t="inlineStr">
        <is>
          <t>Teoría e historia de la arquitectura</t>
        </is>
      </c>
      <c r="C30" s="8" t="inlineStr">
        <is>
          <t>Fundamentos disciplinares</t>
        </is>
      </c>
      <c r="D30" s="8" t="inlineStr">
        <is>
          <t>Educación, Espacio y Aprendizaje</t>
        </is>
      </c>
      <c r="E30" s="8" t="n"/>
      <c r="F30" t="inlineStr">
        <is>
          <t>teórico</t>
        </is>
      </c>
    </row>
    <row r="31" ht="30" customHeight="1" s="24">
      <c r="A31" s="8" t="inlineStr">
        <is>
          <t>SUB-27</t>
        </is>
      </c>
      <c r="B31" s="8" t="inlineStr">
        <is>
          <t>Transferencia de medios tecnológicos con aplicación al emprendimiento local</t>
        </is>
      </c>
      <c r="C31" s="8" t="inlineStr">
        <is>
          <t>Fundamentos disciplinares</t>
        </is>
      </c>
      <c r="D31" s="8" t="inlineStr">
        <is>
          <t>Forma, Cultura y Tecnología</t>
        </is>
      </c>
      <c r="E31" s="8" t="n"/>
      <c r="F31" t="inlineStr">
        <is>
          <t>proyectual</t>
        </is>
      </c>
    </row>
    <row r="32" ht="60" customHeight="1" s="24">
      <c r="A32" s="8" t="inlineStr">
        <is>
          <t>SUB-28</t>
        </is>
      </c>
      <c r="B32" s="8" t="inlineStr">
        <is>
          <t>Travesías y geopoética</t>
        </is>
      </c>
      <c r="C32" s="8" t="inlineStr">
        <is>
          <t>Prácticas proyectuales</t>
        </is>
      </c>
      <c r="D32" s="8" t="inlineStr">
        <is>
          <t>Extensión, Ciudad y Habitabilidad</t>
        </is>
      </c>
      <c r="E32" s="8" t="n"/>
      <c r="F32" t="inlineStr">
        <is>
          <t>proyectual</t>
        </is>
      </c>
    </row>
    <row r="33" ht="60" customHeight="1" s="24">
      <c r="A33" s="8" t="inlineStr">
        <is>
          <t>SUB-29</t>
        </is>
      </c>
      <c r="B33" s="8" t="inlineStr">
        <is>
          <t>Urbanización, urbanismo y ecología política</t>
        </is>
      </c>
      <c r="C33" s="8" t="inlineStr">
        <is>
          <t>Prácticas proyectuales</t>
        </is>
      </c>
      <c r="D33" s="8" t="inlineStr">
        <is>
          <t>Extensión, Ciudad y Habitabilidad</t>
        </is>
      </c>
      <c r="E33" s="8" t="n"/>
      <c r="F33" t="inlineStr">
        <is>
          <t>teórico</t>
        </is>
      </c>
    </row>
    <row r="34" ht="60" customHeight="1" s="24">
      <c r="A34" s="8" t="inlineStr">
        <is>
          <t>SUB-30</t>
        </is>
      </c>
      <c r="B34" s="8" t="inlineStr">
        <is>
          <t>Vulnerabilidad física de asentamientos costeros</t>
        </is>
      </c>
      <c r="C34" s="8" t="inlineStr">
        <is>
          <t>Prácticas proyectuales</t>
        </is>
      </c>
      <c r="D34" s="8" t="inlineStr">
        <is>
          <t>Extensión, Ciudad y Habitabilidad</t>
        </is>
      </c>
      <c r="E34" s="8" t="n"/>
      <c r="F34" t="inlineStr">
        <is>
          <t>proyectual</t>
        </is>
      </c>
    </row>
    <row r="35" ht="60" customHeight="1" s="24">
      <c r="A35" s="8" t="inlineStr">
        <is>
          <t>SUB-31</t>
        </is>
      </c>
      <c r="B35" s="8" t="inlineStr">
        <is>
          <t>Vivienda, financiarización y políticas habitacionales</t>
        </is>
      </c>
      <c r="C35" s="8" t="inlineStr">
        <is>
          <t>Prácticas proyectuales</t>
        </is>
      </c>
      <c r="D35" s="8" t="inlineStr">
        <is>
          <t>Extensión, Ciudad y Habitabilidad</t>
        </is>
      </c>
      <c r="E35" s="8" t="inlineStr">
        <is>
          <t>nueva</t>
        </is>
      </c>
      <c r="F35" t="inlineStr">
        <is>
          <t>teórico</t>
        </is>
      </c>
    </row>
    <row r="36" ht="60" customHeight="1" s="24">
      <c r="A36" s="8" t="inlineStr">
        <is>
          <t>SUB-32</t>
        </is>
      </c>
      <c r="B36" s="8" t="inlineStr">
        <is>
          <t>Comunes, comunalidad y resiliencias socioecológicas</t>
        </is>
      </c>
      <c r="C36" s="8" t="inlineStr">
        <is>
          <t>Prácticas proyectuales</t>
        </is>
      </c>
      <c r="D36" s="8" t="inlineStr">
        <is>
          <t>Extensión, Ciudad y Habitabilidad</t>
        </is>
      </c>
      <c r="E36" s="8" t="inlineStr">
        <is>
          <t>nueva</t>
        </is>
      </c>
      <c r="F36" t="inlineStr">
        <is>
          <t>teórico</t>
        </is>
      </c>
    </row>
    <row r="37" ht="60" customHeight="1" s="24">
      <c r="A37" s="8" t="inlineStr">
        <is>
          <t>SUB-33</t>
        </is>
      </c>
      <c r="B37" s="8" t="inlineStr">
        <is>
          <t>Movilidad, infraestructura urbana y equipamiento</t>
        </is>
      </c>
      <c r="C37" s="8" t="inlineStr">
        <is>
          <t>Prácticas proyectuales</t>
        </is>
      </c>
      <c r="D37" s="8" t="inlineStr">
        <is>
          <t>Extensión, Ciudad y Habitabilidad</t>
        </is>
      </c>
      <c r="E37" s="8" t="inlineStr">
        <is>
          <t>nueva</t>
        </is>
      </c>
      <c r="F37" t="inlineStr">
        <is>
          <t>proyectual</t>
        </is>
      </c>
    </row>
    <row r="38" ht="60" customHeight="1" s="24">
      <c r="A38" s="8" t="inlineStr">
        <is>
          <t>SUB-34</t>
        </is>
      </c>
      <c r="B38" s="8" t="inlineStr">
        <is>
          <t>Ciudad-teatro y apropiación escénica del espacio público</t>
        </is>
      </c>
      <c r="C38" s="8" t="inlineStr">
        <is>
          <t>Prácticas proyectuales</t>
        </is>
      </c>
      <c r="D38" s="8" t="inlineStr">
        <is>
          <t>Extensión, Ciudad y Habitabilidad</t>
        </is>
      </c>
      <c r="E38" s="8" t="inlineStr">
        <is>
          <t>nueva</t>
        </is>
      </c>
      <c r="F38" t="inlineStr">
        <is>
          <t>proyectual</t>
        </is>
      </c>
    </row>
    <row r="39" ht="60" customHeight="1" s="24">
      <c r="A39" s="8" t="inlineStr">
        <is>
          <t>SUB-35</t>
        </is>
      </c>
      <c r="B39" s="8" t="inlineStr">
        <is>
          <t>Naturaleza, paisaje y patrimonio natural</t>
        </is>
      </c>
      <c r="C39" s="8" t="inlineStr">
        <is>
          <t>Prácticas proyectuales</t>
        </is>
      </c>
      <c r="D39" s="8" t="inlineStr">
        <is>
          <t>Extensión, Ciudad y Habitabilidad</t>
        </is>
      </c>
      <c r="E39" s="8" t="inlineStr">
        <is>
          <t>nueva</t>
        </is>
      </c>
      <c r="F39" t="inlineStr">
        <is>
          <t>proyectual</t>
        </is>
      </c>
    </row>
    <row r="40" ht="60" customHeight="1" s="24">
      <c r="A40" s="8" t="inlineStr">
        <is>
          <t>SUB-36</t>
        </is>
      </c>
      <c r="B40" s="8" t="inlineStr">
        <is>
          <t>Patrimonio arquitectónico y rehabilitación</t>
        </is>
      </c>
      <c r="C40" s="8" t="inlineStr">
        <is>
          <t>Prácticas proyectuales</t>
        </is>
      </c>
      <c r="D40" s="8" t="inlineStr">
        <is>
          <t>Extensión, Ciudad y Habitabilidad</t>
        </is>
      </c>
      <c r="E40" s="8" t="inlineStr">
        <is>
          <t>nueva</t>
        </is>
      </c>
      <c r="F40" t="inlineStr">
        <is>
          <t>proyectual</t>
        </is>
      </c>
    </row>
    <row r="41" ht="60" customHeight="1" s="24">
      <c r="A41" s="8" t="inlineStr">
        <is>
          <t>SUB-37</t>
        </is>
      </c>
      <c r="B41" s="8" t="inlineStr">
        <is>
          <t>Urbanismo afectivo, deriva y reuso del patrimonio</t>
        </is>
      </c>
      <c r="C41" s="8" t="inlineStr">
        <is>
          <t>Prácticas proyectuales</t>
        </is>
      </c>
      <c r="D41" s="8" t="inlineStr">
        <is>
          <t>Extensión, Ciudad y Habitabilidad</t>
        </is>
      </c>
      <c r="E41" s="8" t="inlineStr">
        <is>
          <t>nueva</t>
        </is>
      </c>
      <c r="F41" t="inlineStr">
        <is>
          <t>proyectual</t>
        </is>
      </c>
    </row>
    <row r="42" ht="60" customHeight="1" s="24">
      <c r="A42" s="8" t="inlineStr">
        <is>
          <t>SUB-38</t>
        </is>
      </c>
      <c r="B42" s="8" t="inlineStr">
        <is>
          <t>Investigación-acción y artes urbanas</t>
        </is>
      </c>
      <c r="C42" s="8" t="inlineStr">
        <is>
          <t>Prácticas proyectuales</t>
        </is>
      </c>
      <c r="D42" s="8" t="inlineStr">
        <is>
          <t>Extensión, Ciudad y Habitabilidad</t>
        </is>
      </c>
      <c r="E42" s="8" t="inlineStr">
        <is>
          <t>nueva</t>
        </is>
      </c>
      <c r="F42" t="inlineStr">
        <is>
          <t>proyectual</t>
        </is>
      </c>
    </row>
    <row r="43" ht="60" customHeight="1" s="24">
      <c r="A43" s="8" t="inlineStr">
        <is>
          <t>SUB-39</t>
        </is>
      </c>
      <c r="B43" s="8" t="inlineStr">
        <is>
          <t>Evaluación social y políticas públicas de inversión</t>
        </is>
      </c>
      <c r="C43" s="8" t="inlineStr">
        <is>
          <t>Prácticas proyectuales</t>
        </is>
      </c>
      <c r="D43" s="8" t="inlineStr">
        <is>
          <t>Extensión, Ciudad y Habitabilidad</t>
        </is>
      </c>
      <c r="E43" s="8" t="inlineStr">
        <is>
          <t>nueva</t>
        </is>
      </c>
      <c r="F43" t="inlineStr">
        <is>
          <t>teórico</t>
        </is>
      </c>
    </row>
    <row r="44" ht="60" customHeight="1" s="24">
      <c r="A44" s="8" t="inlineStr">
        <is>
          <t>SUB-40</t>
        </is>
      </c>
      <c r="B44" s="8" t="inlineStr">
        <is>
          <t>Mobiliario, vida cotidiana y materialidad de la obra</t>
        </is>
      </c>
      <c r="C44" s="8" t="inlineStr">
        <is>
          <t>Prácticas proyectuales</t>
        </is>
      </c>
      <c r="D44" s="8" t="inlineStr">
        <is>
          <t>Forma, Cultura y Tecnología</t>
        </is>
      </c>
      <c r="E44" s="8" t="inlineStr">
        <is>
          <t>nueva</t>
        </is>
      </c>
      <c r="F44" t="inlineStr">
        <is>
          <t>proyectual</t>
        </is>
      </c>
    </row>
    <row r="45" ht="60" customHeight="1" s="24">
      <c r="A45" s="8" t="inlineStr">
        <is>
          <t>SUB-41</t>
        </is>
      </c>
      <c r="B45" s="8" t="inlineStr">
        <is>
          <t>Fabricación digital, modelado paramétrico y fablabs</t>
        </is>
      </c>
      <c r="C45" s="8" t="inlineStr">
        <is>
          <t>Fundamentos disciplinares</t>
        </is>
      </c>
      <c r="D45" s="8" t="inlineStr">
        <is>
          <t>Forma, Cultura y Tecnología</t>
        </is>
      </c>
      <c r="E45" s="8" t="inlineStr">
        <is>
          <t>nueva — núcleo Jeldes</t>
        </is>
      </c>
      <c r="F45" t="inlineStr">
        <is>
          <t>proyectual</t>
        </is>
      </c>
    </row>
    <row r="46" ht="60" customHeight="1" s="24">
      <c r="A46" s="8" t="inlineStr">
        <is>
          <t>SUB-42</t>
        </is>
      </c>
      <c r="B46" s="8" t="inlineStr">
        <is>
          <t>Diseño para la democracia y comunicación ciudadana</t>
        </is>
      </c>
      <c r="C46" s="8" t="inlineStr">
        <is>
          <t>Fundamentos disciplinares</t>
        </is>
      </c>
      <c r="D46" s="8" t="inlineStr">
        <is>
          <t>Forma, Cultura y Tecnología</t>
        </is>
      </c>
      <c r="E46" s="8" t="inlineStr">
        <is>
          <t>nueva</t>
        </is>
      </c>
      <c r="F46" t="inlineStr">
        <is>
          <t>proyectual</t>
        </is>
      </c>
    </row>
    <row r="47" ht="60" customHeight="1" s="24">
      <c r="A47" s="8" t="inlineStr">
        <is>
          <t>SUB-43</t>
        </is>
      </c>
      <c r="B47" s="8" t="inlineStr">
        <is>
          <t>Comunicación visual, diseño editorial y exposición material</t>
        </is>
      </c>
      <c r="C47" s="8" t="inlineStr">
        <is>
          <t>Fundamentos disciplinares</t>
        </is>
      </c>
      <c r="D47" s="8" t="inlineStr">
        <is>
          <t>Forma, Cultura y Tecnología</t>
        </is>
      </c>
      <c r="E47" s="8" t="inlineStr">
        <is>
          <t>nueva</t>
        </is>
      </c>
      <c r="F47" t="inlineStr">
        <is>
          <t>proyectual</t>
        </is>
      </c>
    </row>
    <row r="48" ht="60" customHeight="1" s="24">
      <c r="A48" s="8" t="inlineStr">
        <is>
          <t>SUB-44</t>
        </is>
      </c>
      <c r="B48" s="8" t="inlineStr">
        <is>
          <t>Diseño social, territorial y patrimonio cultural</t>
        </is>
      </c>
      <c r="C48" s="8" t="inlineStr">
        <is>
          <t>Prácticas proyectuales</t>
        </is>
      </c>
      <c r="D48" s="8" t="inlineStr">
        <is>
          <t>Forma, Cultura y Tecnología</t>
        </is>
      </c>
      <c r="E48" s="8" t="inlineStr">
        <is>
          <t>nueva</t>
        </is>
      </c>
      <c r="F48" t="inlineStr">
        <is>
          <t>proyectual</t>
        </is>
      </c>
    </row>
    <row r="49" ht="60" customHeight="1" s="24">
      <c r="A49" s="8" t="inlineStr">
        <is>
          <t>SUB-45</t>
        </is>
      </c>
      <c r="B49" s="8" t="inlineStr">
        <is>
          <t>Confort, bienestar y habitabilidad personal</t>
        </is>
      </c>
      <c r="C49" s="8" t="inlineStr">
        <is>
          <t>Prácticas proyectuales</t>
        </is>
      </c>
      <c r="D49" s="8" t="inlineStr">
        <is>
          <t>Forma, Cultura y Tecnología</t>
        </is>
      </c>
      <c r="E49" s="8" t="inlineStr">
        <is>
          <t>nueva</t>
        </is>
      </c>
      <c r="F49" t="inlineStr">
        <is>
          <t>proyectual</t>
        </is>
      </c>
    </row>
    <row r="50" ht="60" customHeight="1" s="24">
      <c r="A50" s="8" t="inlineStr">
        <is>
          <t>SUB-46</t>
        </is>
      </c>
      <c r="B50" s="8" t="inlineStr">
        <is>
          <t>Máquinas expresivas, algoritmos y arte tecnológico</t>
        </is>
      </c>
      <c r="C50" s="8" t="inlineStr">
        <is>
          <t>Fundamentos disciplinares</t>
        </is>
      </c>
      <c r="D50" s="8" t="inlineStr">
        <is>
          <t>Forma, Cultura y Tecnología</t>
        </is>
      </c>
      <c r="E50" s="8" t="inlineStr">
        <is>
          <t>nueva</t>
        </is>
      </c>
      <c r="F50" t="inlineStr">
        <is>
          <t>proyectual</t>
        </is>
      </c>
    </row>
    <row r="51" ht="60" customHeight="1" s="24">
      <c r="A51" s="8" t="inlineStr">
        <is>
          <t>SUB-47</t>
        </is>
      </c>
      <c r="B51" s="8" t="inlineStr">
        <is>
          <t>Tecnología, sociedad y techné</t>
        </is>
      </c>
      <c r="C51" s="8" t="inlineStr">
        <is>
          <t>Fundamentos disciplinares</t>
        </is>
      </c>
      <c r="D51" s="8" t="inlineStr">
        <is>
          <t>Forma, Cultura y Tecnología</t>
        </is>
      </c>
      <c r="E51" s="8" t="inlineStr">
        <is>
          <t>nueva</t>
        </is>
      </c>
      <c r="F51" t="inlineStr">
        <is>
          <t>teórico</t>
        </is>
      </c>
    </row>
    <row r="52" ht="75" customHeight="1" s="24">
      <c r="A52" s="8" t="inlineStr">
        <is>
          <t>SUB-48</t>
        </is>
      </c>
      <c r="B52" s="8" t="inlineStr">
        <is>
          <t>Arte y arquitectura</t>
        </is>
      </c>
      <c r="C52" s="8" t="inlineStr">
        <is>
          <t>Fundamentos disciplinares</t>
        </is>
      </c>
      <c r="D52" s="8" t="inlineStr">
        <is>
          <t>Educación, Espacio y Aprendizaje</t>
        </is>
      </c>
      <c r="E52" s="8" t="inlineStr">
        <is>
          <t>nueva</t>
        </is>
      </c>
      <c r="F52" t="inlineStr">
        <is>
          <t>teórico</t>
        </is>
      </c>
    </row>
    <row r="53" ht="75" customHeight="1" s="24">
      <c r="A53" s="8" t="inlineStr">
        <is>
          <t>SUB-49</t>
        </is>
      </c>
      <c r="B53" s="8" t="inlineStr">
        <is>
          <t>Arquitectura moderna y habitar latinoamericano</t>
        </is>
      </c>
      <c r="C53" s="8" t="inlineStr">
        <is>
          <t>Fundamentos disciplinares</t>
        </is>
      </c>
      <c r="D53" s="8" t="inlineStr">
        <is>
          <t>Educación, Espacio y Aprendizaje</t>
        </is>
      </c>
      <c r="E53" s="8" t="inlineStr">
        <is>
          <t>nueva</t>
        </is>
      </c>
      <c r="F53" t="inlineStr">
        <is>
          <t>teórico</t>
        </is>
      </c>
    </row>
    <row r="54" ht="75" customHeight="1" s="24">
      <c r="A54" s="8" t="inlineStr">
        <is>
          <t>SUB-50</t>
        </is>
      </c>
      <c r="B54" s="8" t="inlineStr">
        <is>
          <t>Poesía y oficio</t>
        </is>
      </c>
      <c r="C54" s="8" t="inlineStr">
        <is>
          <t>Fundamentos disciplinares</t>
        </is>
      </c>
      <c r="D54" s="8" t="inlineStr">
        <is>
          <t>Educación, Espacio y Aprendizaje</t>
        </is>
      </c>
      <c r="E54" s="8" t="inlineStr">
        <is>
          <t>nueva</t>
        </is>
      </c>
      <c r="F54" t="inlineStr">
        <is>
          <t>teórico</t>
        </is>
      </c>
    </row>
    <row r="55" ht="75" customHeight="1" s="24">
      <c r="A55" s="8" t="inlineStr">
        <is>
          <t>SUB-51</t>
        </is>
      </c>
      <c r="B55" s="8" t="inlineStr">
        <is>
          <t>Fundamentos poéticos y artísticos del diseño</t>
        </is>
      </c>
      <c r="C55" s="8" t="inlineStr">
        <is>
          <t>Fundamentos disciplinares</t>
        </is>
      </c>
      <c r="D55" s="8" t="inlineStr">
        <is>
          <t>Educación, Espacio y Aprendizaje</t>
        </is>
      </c>
      <c r="E55" s="8" t="inlineStr">
        <is>
          <t>nueva</t>
        </is>
      </c>
      <c r="F55" t="inlineStr">
        <is>
          <t>teórico</t>
        </is>
      </c>
    </row>
    <row r="56" ht="75" customHeight="1" s="24">
      <c r="A56" s="8" t="inlineStr">
        <is>
          <t>SUB-52</t>
        </is>
      </c>
      <c r="B56" s="8" t="inlineStr">
        <is>
          <t>Reforma escolar y enseñanza de la arquitectura</t>
        </is>
      </c>
      <c r="C56" s="8" t="inlineStr">
        <is>
          <t>Fundamentos disciplinares</t>
        </is>
      </c>
      <c r="D56" s="8" t="inlineStr">
        <is>
          <t>Educación, Espacio y Aprendizaje</t>
        </is>
      </c>
      <c r="E56" s="8" t="inlineStr">
        <is>
          <t>nueva</t>
        </is>
      </c>
      <c r="F56" t="inlineStr">
        <is>
          <t>teórico</t>
        </is>
      </c>
    </row>
    <row r="57" ht="30" customHeight="1" s="24">
      <c r="A57" s="8" t="inlineStr">
        <is>
          <t>SUB-53</t>
        </is>
      </c>
      <c r="B57" s="8" t="inlineStr">
        <is>
          <t>Sistemas inteligentes e IA en diseño</t>
        </is>
      </c>
      <c r="C57" s="8" t="inlineStr">
        <is>
          <t>Fundamentos disciplinares</t>
        </is>
      </c>
      <c r="D57" s="8" t="inlineStr">
        <is>
          <t>Forma, Cultura y Tecnología</t>
        </is>
      </c>
      <c r="E57" s="8" t="inlineStr">
        <is>
          <t>nueva — separa IA aplicada al diseño democrático/inclusivo de fabricación digital</t>
        </is>
      </c>
      <c r="F57" t="inlineStr">
        <is>
          <t>proyectual</t>
        </is>
      </c>
    </row>
  </sheetData>
  <mergeCells count="2">
    <mergeCell ref="A2:E2"/>
    <mergeCell ref="A1:E1"/>
  </mergeCells>
  <dataValidations count="2">
    <dataValidation sqref="C5:C505" showDropDown="0" showInputMessage="0" showErrorMessage="1" allowBlank="1" errorTitle="Nombre no válido" error="El valor debe coincidir con un nombre existente en la hoja correspondiente. Usa el menú desplegable para elegir uno." type="list">
      <formula1>LineaNombres</formula1>
    </dataValidation>
    <dataValidation sqref="D5:D505" showDropDown="0" showInputMessage="0" showErrorMessage="1" allowBlank="1" errorTitle="Nombre no válido" error="El valor debe coincidir con un nombre existente en la hoja correspondiente. Usa el menú desplegable para elegir uno." type="list">
      <formula1>AreaNombres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C1"/>
    </sheetView>
  </sheetViews>
  <sheetFormatPr baseColWidth="10" defaultColWidth="8.83203125" defaultRowHeight="15"/>
  <cols>
    <col width="10" customWidth="1" style="24" min="1" max="1"/>
    <col width="50" customWidth="1" style="24" min="2" max="2"/>
    <col width="110" customWidth="1" style="24" min="3" max="3"/>
  </cols>
  <sheetData>
    <row r="1" ht="18" customHeight="1" s="24">
      <c r="A1" s="25" t="inlineStr">
        <is>
          <t>03 · Áreas del Postgrado</t>
        </is>
      </c>
    </row>
    <row r="2">
      <c r="A2" s="23" t="inlineStr">
        <is>
          <t>Eje ortogonal a las Líneas. Marcos amplios, no compartimentos.</t>
        </is>
      </c>
    </row>
    <row r="4">
      <c r="A4" s="7" t="inlineStr">
        <is>
          <t>código</t>
        </is>
      </c>
      <c r="B4" s="7" t="inlineStr">
        <is>
          <t>nombre</t>
        </is>
      </c>
      <c r="C4" s="7" t="inlineStr">
        <is>
          <t>descripción</t>
        </is>
      </c>
    </row>
    <row r="5" ht="30" customHeight="1" s="24">
      <c r="A5" s="8" t="inlineStr">
        <is>
          <t>ECH</t>
        </is>
      </c>
      <c r="B5" s="8" t="inlineStr">
        <is>
          <t>Extensión, Ciudad y Habitabilidad</t>
        </is>
      </c>
      <c r="C5" s="8" t="inlineStr">
        <is>
          <t>Marco amplio: ciudad, territorio, urbanización, infraestructura urbana, patrimonio territorial, borde costero, prácticas urbanas colectivas.</t>
        </is>
      </c>
    </row>
    <row r="6" ht="30" customHeight="1" s="24">
      <c r="A6" s="8" t="inlineStr">
        <is>
          <t>EAA</t>
        </is>
      </c>
      <c r="B6" s="8" t="inlineStr">
        <is>
          <t>Educación, Espacio y Aprendizaje</t>
        </is>
      </c>
      <c r="C6" s="8" t="inlineStr">
        <is>
          <t>Marco amplio: espacios educativos, pedagogía del diseño, arquitectura como medio didáctico, contextos vulnerables, historia y teoría como campo formativo, archivo y memoria.</t>
        </is>
      </c>
    </row>
    <row r="7" ht="30" customHeight="1" s="24">
      <c r="A7" s="8" t="inlineStr">
        <is>
          <t>FCT</t>
        </is>
      </c>
      <c r="B7" s="8" t="inlineStr">
        <is>
          <t>Forma, Cultura y Tecnología</t>
        </is>
      </c>
      <c r="C7" s="8" t="inlineStr">
        <is>
          <t>Marco amplio: diseño de interacción, servicios y UX, accesibilidad e inclusión, accesibilidad cognitiva, diseño social y territorial, oficio y artesanía, sistemas inteligentes, transferencia tecnológica.</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pane ySplit="2" topLeftCell="A3" activePane="bottomLeft" state="frozen"/>
      <selection pane="bottomLeft" activeCell="A1" sqref="A1:C1"/>
    </sheetView>
  </sheetViews>
  <sheetFormatPr baseColWidth="10" defaultColWidth="8.83203125" defaultRowHeight="15"/>
  <cols>
    <col width="10" customWidth="1" style="24" min="1" max="1"/>
    <col width="30" customWidth="1" style="24" min="2" max="2"/>
    <col width="100" customWidth="1" style="24" min="3" max="3"/>
  </cols>
  <sheetData>
    <row r="1" ht="18" customHeight="1" s="24">
      <c r="A1" s="25" t="inlineStr">
        <is>
          <t>04 · Modos de investigar</t>
        </is>
      </c>
    </row>
    <row r="2">
      <c r="A2" s="7" t="inlineStr">
        <is>
          <t>id</t>
        </is>
      </c>
      <c r="B2" s="7" t="inlineStr">
        <is>
          <t>nombre</t>
        </is>
      </c>
      <c r="C2" s="7" t="inlineStr">
        <is>
          <t>descripción</t>
        </is>
      </c>
    </row>
    <row r="3">
      <c r="A3" s="8" t="inlineStr">
        <is>
          <t>MOD-01</t>
        </is>
      </c>
      <c r="B3" s="8" t="inlineStr">
        <is>
          <t>Historiografía</t>
        </is>
      </c>
      <c r="C3" s="8" t="inlineStr">
        <is>
          <t>Investigación basada en fuentes, archivo, biografía intelectual, genealogías de obra y acervo.</t>
        </is>
      </c>
    </row>
    <row r="4">
      <c r="A4" s="8" t="inlineStr">
        <is>
          <t>MOD-02</t>
        </is>
      </c>
      <c r="B4" s="8" t="inlineStr">
        <is>
          <t>Teoría crítica</t>
        </is>
      </c>
      <c r="C4" s="8" t="inlineStr">
        <is>
          <t>Producción conceptual, ensayo argumentativo, lectura crítica de prácticas y discursos.</t>
        </is>
      </c>
    </row>
    <row r="5">
      <c r="A5" s="8" t="inlineStr">
        <is>
          <t>MOD-03</t>
        </is>
      </c>
      <c r="B5" s="8" t="inlineStr">
        <is>
          <t>Investigación proyectual</t>
        </is>
      </c>
      <c r="C5" s="8" t="inlineStr">
        <is>
          <t>Investigación a través del proyecto: el proyecto-obra como dispositivo de generación de conocimiento.</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C1"/>
    </sheetView>
  </sheetViews>
  <sheetFormatPr baseColWidth="10" defaultColWidth="8.83203125" defaultRowHeight="15"/>
  <cols>
    <col width="10" customWidth="1" style="24" min="1" max="1"/>
    <col width="20" customWidth="1" style="24" min="2" max="2"/>
    <col width="100" customWidth="1" style="24" min="3" max="3"/>
  </cols>
  <sheetData>
    <row r="1" ht="18" customHeight="1" s="24">
      <c r="A1" s="25" t="inlineStr">
        <is>
          <t>05 · Salidas (canales de transferencia)</t>
        </is>
      </c>
    </row>
    <row r="2">
      <c r="A2" s="23" t="inlineStr">
        <is>
          <t>Los Laboratorios son la unidad operativa que activa las Salidas.</t>
        </is>
      </c>
    </row>
    <row r="4">
      <c r="A4" s="7" t="inlineStr">
        <is>
          <t>id</t>
        </is>
      </c>
      <c r="B4" s="7" t="inlineStr">
        <is>
          <t>nombre</t>
        </is>
      </c>
      <c r="C4" s="7" t="inlineStr">
        <is>
          <t>descripción</t>
        </is>
      </c>
    </row>
    <row r="5">
      <c r="A5" s="8" t="inlineStr">
        <is>
          <t>SAL-IND</t>
        </is>
      </c>
      <c r="B5" s="8" t="inlineStr">
        <is>
          <t>Industria</t>
        </is>
      </c>
      <c r="C5" s="8" t="inlineStr">
        <is>
          <t>Investigación aplicada, innovación y desarrollo tecnológico; transferencia al sector productivo.</t>
        </is>
      </c>
    </row>
    <row r="6">
      <c r="A6" s="8" t="inlineStr">
        <is>
          <t>SAL-ACA</t>
        </is>
      </c>
      <c r="B6" s="8" t="inlineStr">
        <is>
          <t>Academia</t>
        </is>
      </c>
      <c r="C6" s="8" t="inlineStr">
        <is>
          <t>Formación e investigación disciplinar, innovación docente, generación de conocimiento disciplinar.</t>
        </is>
      </c>
    </row>
    <row r="7">
      <c r="A7" s="8" t="inlineStr">
        <is>
          <t>SAL-EST</t>
        </is>
      </c>
      <c r="B7" s="8" t="inlineStr">
        <is>
          <t>Estado</t>
        </is>
      </c>
      <c r="C7" s="8" t="inlineStr">
        <is>
          <t>Asuntos y políticas públicas; vínculo con instituciones del Estado.</t>
        </is>
      </c>
    </row>
  </sheetData>
  <mergeCells count="2">
    <mergeCell ref="A1:C1"/>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C1"/>
    </sheetView>
  </sheetViews>
  <sheetFormatPr baseColWidth="10" defaultColWidth="8.83203125" defaultRowHeight="15"/>
  <cols>
    <col width="12" customWidth="1" style="24" min="1" max="1"/>
    <col width="38" customWidth="1" style="24" min="2" max="2"/>
    <col width="100" customWidth="1" style="24" min="3" max="3"/>
  </cols>
  <sheetData>
    <row r="1" ht="18" customHeight="1" s="24">
      <c r="A1" s="25" t="inlineStr">
        <is>
          <t>06 · Laboratorios (grupos asociativos, nombres tentativos)</t>
        </is>
      </c>
    </row>
    <row r="2">
      <c r="A2" s="7" t="inlineStr">
        <is>
          <t>id</t>
        </is>
      </c>
      <c r="B2" s="7" t="inlineStr">
        <is>
          <t>nombre</t>
        </is>
      </c>
      <c r="C2" s="7" t="inlineStr">
        <is>
          <t>descripción</t>
        </is>
      </c>
    </row>
    <row r="3">
      <c r="A3" s="8" t="inlineStr">
        <is>
          <t>LAB-NAI</t>
        </is>
      </c>
      <c r="B3" s="8" t="inlineStr">
        <is>
          <t>Núcleo de Accesibilidad e Inclusión</t>
        </is>
      </c>
      <c r="C3" s="8" t="inlineStr">
        <is>
          <t>Accesibilidad cognitiva, codiseño, comunicación aumentativa/alternativa, vida independiente, participación inclusiva.</t>
        </is>
      </c>
    </row>
    <row r="4">
      <c r="A4" s="8" t="inlineStr">
        <is>
          <t>LAB-AFL</t>
        </is>
      </c>
      <c r="B4" s="8" t="inlineStr">
        <is>
          <t>Aconcagua Fablab</t>
        </is>
      </c>
      <c r="C4" s="8" t="inlineStr">
        <is>
          <t>Fabricación digital, modelado paramétrico, transferencia tecnológica distribuida, sistemas inteligentes, hacer-crear.</t>
        </is>
      </c>
    </row>
    <row r="5">
      <c r="A5" s="8" t="inlineStr">
        <is>
          <t>LAB-PYT</t>
        </is>
      </c>
      <c r="B5" s="8" t="inlineStr">
        <is>
          <t>Personas y territorios</t>
        </is>
      </c>
      <c r="C5" s="8" t="inlineStr">
        <is>
          <t>Ciudad, territorio, urbanización, patrimonio territorial y comunidades; intersección persona–lugar.</t>
        </is>
      </c>
    </row>
    <row r="6">
      <c r="A6" s="8" t="inlineStr">
        <is>
          <t>LAB-PMD</t>
        </is>
      </c>
      <c r="B6" s="8" t="inlineStr">
        <is>
          <t>Patrimonio moderno</t>
        </is>
      </c>
      <c r="C6" s="8" t="inlineStr">
        <is>
          <t>Historia y crítica de la arquitectura moderna, acervo de la e[ad] y Ciudad Abierta, archivo y memoria material.</t>
        </is>
      </c>
    </row>
    <row r="7">
      <c r="A7" s="8" t="inlineStr">
        <is>
          <t>LAB-UAF</t>
        </is>
      </c>
      <c r="B7" s="8" t="inlineStr">
        <is>
          <t>Urbanismo afectivo</t>
        </is>
      </c>
      <c r="C7" s="8" t="inlineStr">
        <is>
          <t>Deriva, prácticas urbanas colectivas, cooperativismo, reuso del patrimonio en abandono, investigación-acción.</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1"/>
  <sheetViews>
    <sheetView workbookViewId="0">
      <pane ySplit="4" topLeftCell="A5" activePane="bottomLeft" state="frozen"/>
      <selection pane="bottomLeft" activeCell="D22" sqref="D22"/>
    </sheetView>
  </sheetViews>
  <sheetFormatPr baseColWidth="10" defaultColWidth="8.83203125" defaultRowHeight="15"/>
  <cols>
    <col width="10" customWidth="1" style="24" min="1" max="1"/>
    <col width="28" customWidth="1" style="24" min="2" max="2"/>
    <col width="14" customWidth="1" style="24" min="3" max="3"/>
    <col width="60" customWidth="1" style="24" min="4" max="4"/>
    <col width="38" customWidth="1" style="24" min="5" max="5"/>
  </cols>
  <sheetData>
    <row r="1" ht="18" customHeight="1" s="24">
      <c r="A1" s="25" t="inlineStr">
        <is>
          <t>07 · Investigadores (cuerpo académico EAD-PUCV)</t>
        </is>
      </c>
    </row>
    <row r="2">
      <c r="A2" s="23" t="inlineStr">
        <is>
          <t>Área principal es lectura — un investigador puede operar en varias. área_secundaria: segunda área autodeclarada (formulario 2024). perfil_anid desde formulario 2024; orcid y google_scholar: pendiente completar. Nota: URL ANID de Emanuela Di Felice en formulario era inválida — vacía, pendiente corregir.</t>
        </is>
      </c>
    </row>
    <row r="4">
      <c r="A4" s="7" t="inlineStr">
        <is>
          <t>id</t>
        </is>
      </c>
      <c r="B4" s="7" t="inlineStr">
        <is>
          <t>nombre</t>
        </is>
      </c>
      <c r="C4" s="7" t="inlineStr">
        <is>
          <t>área_principal</t>
        </is>
      </c>
      <c r="D4" s="7" t="inlineStr">
        <is>
          <t>área_secundaria</t>
        </is>
      </c>
      <c r="E4" t="inlineStr">
        <is>
          <t>perfil_casiopea</t>
        </is>
      </c>
      <c r="F4" t="inlineStr">
        <is>
          <t>perfil_anid</t>
        </is>
      </c>
      <c r="G4" t="inlineStr">
        <is>
          <t>perfil_orcid</t>
        </is>
      </c>
      <c r="H4" t="inlineStr">
        <is>
          <t>perfil_google_scholar</t>
        </is>
      </c>
      <c r="I4" t="inlineStr">
        <is>
          <t>estado_perfil</t>
        </is>
      </c>
    </row>
    <row r="5">
      <c r="A5" s="8" t="inlineStr">
        <is>
          <t>INV-UEC</t>
        </is>
      </c>
      <c r="B5" s="20" t="inlineStr">
        <is>
          <t>Ursula Exss Cid</t>
        </is>
      </c>
      <c r="C5" s="8" t="inlineStr">
        <is>
          <t>EAA</t>
        </is>
      </c>
      <c r="E5" t="inlineStr">
        <is>
          <t>https://wiki.ead.pucv.cl/Ursula_Exss</t>
        </is>
      </c>
      <c r="F5" t="inlineStr">
        <is>
          <t>https://investigadores.anid.cl/es/public_search/researcher?id=38268</t>
        </is>
      </c>
      <c r="I5" t="inlineStr">
        <is>
          <t>consolidado Casiopea + ANID</t>
        </is>
      </c>
    </row>
    <row r="6">
      <c r="A6" s="8" t="inlineStr">
        <is>
          <t>INV-KEC</t>
        </is>
      </c>
      <c r="B6" s="20" t="inlineStr">
        <is>
          <t>Katherine Exss Cid</t>
        </is>
      </c>
      <c r="C6" s="8" t="inlineStr">
        <is>
          <t>FCT</t>
        </is>
      </c>
      <c r="E6" t="inlineStr">
        <is>
          <t>https://wiki.ead.pucv.cl/Katherine_Exss</t>
        </is>
      </c>
      <c r="F6" t="inlineStr">
        <is>
          <t>https://investigadores.anid.cl/es/public_search/researcher?id=39442</t>
        </is>
      </c>
      <c r="I6" t="inlineStr">
        <is>
          <t>consolidado Casiopea + ANID</t>
        </is>
      </c>
    </row>
    <row r="7">
      <c r="A7" s="8" t="inlineStr">
        <is>
          <t>INV-JFH</t>
        </is>
      </c>
      <c r="B7" s="20" t="inlineStr">
        <is>
          <t>Jorge Ferrada Herrera</t>
        </is>
      </c>
      <c r="C7" s="8" t="inlineStr">
        <is>
          <t>ECH</t>
        </is>
      </c>
      <c r="E7" t="inlineStr">
        <is>
          <t>https://wiki.ead.pucv.cl/Jorge_Ferrada</t>
        </is>
      </c>
      <c r="I7" t="inlineStr">
        <is>
          <t>bio + cursos + proyectos + tesis</t>
        </is>
      </c>
    </row>
    <row r="8">
      <c r="A8" s="8" t="inlineStr">
        <is>
          <t>INV-AGA</t>
        </is>
      </c>
      <c r="B8" s="20" t="inlineStr">
        <is>
          <t>Andrés Garcés Alzamora</t>
        </is>
      </c>
      <c r="C8" s="8" t="inlineStr">
        <is>
          <t>ECH</t>
        </is>
      </c>
      <c r="D8" t="inlineStr">
        <is>
          <t>FCT</t>
        </is>
      </c>
      <c r="E8" t="inlineStr">
        <is>
          <t>https://wiki.ead.pucv.cl/Andr%C3%A9s_Garc%C3%A9s</t>
        </is>
      </c>
      <c r="I8" t="inlineStr">
        <is>
          <t>línea explícita</t>
        </is>
      </c>
    </row>
    <row r="9">
      <c r="A9" s="8" t="inlineStr">
        <is>
          <t>INV-IIY</t>
        </is>
      </c>
      <c r="B9" s="20" t="inlineStr">
        <is>
          <t>Iván Ivelic Yanes</t>
        </is>
      </c>
      <c r="C9" s="8" t="inlineStr">
        <is>
          <t>ECH</t>
        </is>
      </c>
      <c r="E9" t="inlineStr">
        <is>
          <t>https://wiki.ead.pucv.cl/Iv%C3%A1n_Ivelic</t>
        </is>
      </c>
      <c r="I9" t="inlineStr">
        <is>
          <t>línea explícita + lectura detallada</t>
        </is>
      </c>
    </row>
    <row r="10">
      <c r="A10" s="8" t="inlineStr">
        <is>
          <t>INV-DLC</t>
        </is>
      </c>
      <c r="B10" s="20" t="inlineStr">
        <is>
          <t>David Luza Cornejo</t>
        </is>
      </c>
      <c r="C10" s="8" t="inlineStr">
        <is>
          <t>ECH</t>
        </is>
      </c>
      <c r="E10" t="inlineStr">
        <is>
          <t>https://wiki.ead.pucv.cl/David_Luza</t>
        </is>
      </c>
      <c r="I10" t="inlineStr">
        <is>
          <t>consolidado Casiopea + ANID</t>
        </is>
      </c>
    </row>
    <row r="11">
      <c r="A11" s="8" t="inlineStr">
        <is>
          <t>INV-AMT</t>
        </is>
      </c>
      <c r="B11" s="20" t="inlineStr">
        <is>
          <t>Adriana Marín Toro</t>
        </is>
      </c>
      <c r="C11" s="8" t="inlineStr">
        <is>
          <t>ECH</t>
        </is>
      </c>
      <c r="E11" t="inlineStr">
        <is>
          <t>https://wiki.ead.pucv.cl/Adriana_Mar%C3%ADn</t>
        </is>
      </c>
      <c r="I11" t="inlineStr">
        <is>
          <t>líneas explícitas</t>
        </is>
      </c>
    </row>
    <row r="12">
      <c r="A12" s="8" t="inlineStr">
        <is>
          <t>INV-AMJ</t>
        </is>
      </c>
      <c r="B12" s="20" t="inlineStr">
        <is>
          <t>Álvaro Mercado Jara</t>
        </is>
      </c>
      <c r="C12" s="8" t="inlineStr">
        <is>
          <t>ECH</t>
        </is>
      </c>
      <c r="E12" t="inlineStr">
        <is>
          <t>https://wiki.ead.pucv.cl/%C3%81lvaro_Mercado</t>
        </is>
      </c>
      <c r="I12" t="inlineStr">
        <is>
          <t>líneas explícitas</t>
        </is>
      </c>
    </row>
    <row r="13">
      <c r="A13" s="8" t="inlineStr">
        <is>
          <t>INV-JRG</t>
        </is>
      </c>
      <c r="B13" s="20" t="inlineStr">
        <is>
          <t>Jaime Reyes Gil</t>
        </is>
      </c>
      <c r="C13" s="8" t="inlineStr">
        <is>
          <t>EAA</t>
        </is>
      </c>
      <c r="E13" t="inlineStr">
        <is>
          <t>https://wiki.ead.pucv.cl/Jaime_Reyes</t>
        </is>
      </c>
      <c r="F13" t="inlineStr">
        <is>
          <t>https://investigadores.anid.cl/es/public_search/researcher?id=44715</t>
        </is>
      </c>
      <c r="I13" t="inlineStr">
        <is>
          <t>tema/área explícita</t>
        </is>
      </c>
    </row>
    <row r="14">
      <c r="A14" s="8" t="inlineStr">
        <is>
          <t>INV-RSV</t>
        </is>
      </c>
      <c r="B14" s="20" t="inlineStr">
        <is>
          <t>Rodrigo Saavedra Venegas</t>
        </is>
      </c>
      <c r="C14" s="8" t="inlineStr">
        <is>
          <t>EAA</t>
        </is>
      </c>
      <c r="E14" t="inlineStr">
        <is>
          <t>https://wiki.ead.pucv.cl/Rodrigo_Saavedra</t>
        </is>
      </c>
      <c r="F14" t="inlineStr">
        <is>
          <t>https://investigadores.anid.cl/es/public_search/researcher?id=36228</t>
        </is>
      </c>
      <c r="I14" t="inlineStr">
        <is>
          <t>líneas explícitas</t>
        </is>
      </c>
    </row>
    <row r="15">
      <c r="A15" s="8" t="inlineStr">
        <is>
          <t>INV-DSC</t>
        </is>
      </c>
      <c r="B15" s="20" t="inlineStr">
        <is>
          <t>Daniela Salgado Cofré</t>
        </is>
      </c>
      <c r="C15" s="8" t="inlineStr">
        <is>
          <t>FCT</t>
        </is>
      </c>
      <c r="D15" t="inlineStr">
        <is>
          <t>ECH</t>
        </is>
      </c>
      <c r="E15" t="inlineStr">
        <is>
          <t>https://wiki.ead.pucv.cl/Daniela_Salgado</t>
        </is>
      </c>
      <c r="F15" t="inlineStr">
        <is>
          <t>https://investigadores.anid.cl/es/public_search/researcher?id=43532</t>
        </is>
      </c>
      <c r="I15" t="inlineStr">
        <is>
          <t>líneas explícitas</t>
        </is>
      </c>
    </row>
    <row r="16">
      <c r="A16" s="8" t="inlineStr">
        <is>
          <t>INV-HSG</t>
        </is>
      </c>
      <c r="B16" s="20" t="inlineStr">
        <is>
          <t>Herbert Spencer González</t>
        </is>
      </c>
      <c r="C16" s="8" t="inlineStr">
        <is>
          <t>FCT</t>
        </is>
      </c>
      <c r="E16" t="inlineStr">
        <is>
          <t>https://wiki.ead.pucv.cl/Herbert_Spencer</t>
        </is>
      </c>
      <c r="F16" t="inlineStr">
        <is>
          <t>https://investigadores.anid.cl/es/public_search/researcher?id=6662</t>
        </is>
      </c>
      <c r="I16" t="inlineStr">
        <is>
          <t>líneas explícitas</t>
        </is>
      </c>
    </row>
    <row r="17">
      <c r="A17" s="8" t="inlineStr">
        <is>
          <t>INV-ATJ</t>
        </is>
      </c>
      <c r="B17" s="20" t="inlineStr">
        <is>
          <t>Alfred Thiers Jusan</t>
        </is>
      </c>
      <c r="C17" s="8" t="inlineStr">
        <is>
          <t>ECH</t>
        </is>
      </c>
      <c r="E17" t="inlineStr">
        <is>
          <t>https://wiki.ead.pucv.cl/Alfred_Thiers</t>
        </is>
      </c>
      <c r="I17" t="inlineStr">
        <is>
          <t>líneas explícitas</t>
        </is>
      </c>
    </row>
    <row r="18" ht="16" customHeight="1" s="24">
      <c r="A18" s="8" t="inlineStr">
        <is>
          <t>INV-LHP</t>
        </is>
      </c>
      <c r="B18" s="20" t="inlineStr">
        <is>
          <t>Lorena Herrera Ponce</t>
        </is>
      </c>
      <c r="C18" s="8" t="inlineStr">
        <is>
          <t>ECH</t>
        </is>
      </c>
      <c r="E18" t="inlineStr">
        <is>
          <t>https://wiki.ead.pucv.cl/Lorena_Herrera</t>
        </is>
      </c>
      <c r="I18" t="inlineStr">
        <is>
          <t>ANID</t>
        </is>
      </c>
    </row>
    <row r="19">
      <c r="A19" s="8" t="inlineStr">
        <is>
          <t>INV-JCJP</t>
        </is>
      </c>
      <c r="B19" s="20" t="inlineStr">
        <is>
          <t>Juan Carlos Jeldes Pontio</t>
        </is>
      </c>
      <c r="C19" s="8" t="inlineStr">
        <is>
          <t>FCT</t>
        </is>
      </c>
      <c r="E19" t="inlineStr">
        <is>
          <t>https://wiki.ead.pucv.cl/Juan_Carlos_Jeldes</t>
        </is>
      </c>
      <c r="I19" t="inlineStr">
        <is>
          <t>lectura detallada de perfil</t>
        </is>
      </c>
    </row>
    <row r="20">
      <c r="A20" s="8" t="inlineStr">
        <is>
          <t>INV-MWU</t>
        </is>
      </c>
      <c r="B20" s="20" t="inlineStr">
        <is>
          <t>Michèle Wilkomirsky Uribe</t>
        </is>
      </c>
      <c r="C20" s="8" t="inlineStr">
        <is>
          <t>EAA</t>
        </is>
      </c>
      <c r="E20" t="inlineStr">
        <is>
          <t>https://wiki.ead.pucv.cl/Mich%C3%A8le_Wilkomirsky</t>
        </is>
      </c>
      <c r="I20" t="inlineStr">
        <is>
          <t>ANID</t>
        </is>
      </c>
    </row>
    <row r="21">
      <c r="A21" s="8" t="inlineStr">
        <is>
          <t>INV-OAC</t>
        </is>
      </c>
      <c r="B21" s="20" t="inlineStr">
        <is>
          <t>Óscar Andrade Castro</t>
        </is>
      </c>
      <c r="C21" s="8" t="inlineStr">
        <is>
          <t>EAA</t>
        </is>
      </c>
      <c r="D21" t="inlineStr">
        <is>
          <t>ECH</t>
        </is>
      </c>
      <c r="E21" t="inlineStr">
        <is>
          <t>https://wiki.ead.pucv.cl/%C3%93scar_Andrade</t>
        </is>
      </c>
      <c r="F21" t="inlineStr">
        <is>
          <t>https://investigadores.anid.cl/es/public_search/researcher?id=41600</t>
        </is>
      </c>
      <c r="I21" t="inlineStr">
        <is>
          <t>ANID</t>
        </is>
      </c>
    </row>
    <row r="22" ht="16" customHeight="1" s="24">
      <c r="A22" s="8" t="inlineStr">
        <is>
          <t>INV-AB</t>
        </is>
      </c>
      <c r="B22" s="20" t="inlineStr">
        <is>
          <t>Anna Braghini</t>
        </is>
      </c>
      <c r="C22" s="8" t="inlineStr">
        <is>
          <t>EAA</t>
        </is>
      </c>
      <c r="D22" t="inlineStr">
        <is>
          <t>ECH</t>
        </is>
      </c>
      <c r="E22" t="inlineStr">
        <is>
          <t>https://wiki.ead.pucv.cl/Anna_Braghini</t>
        </is>
      </c>
      <c r="F22" t="inlineStr">
        <is>
          <t>https://investigadores.anid.cl/es/people/49354-Anna_Braghini</t>
        </is>
      </c>
      <c r="I22" t="inlineStr">
        <is>
          <t>deducción razonable</t>
        </is>
      </c>
    </row>
    <row r="23">
      <c r="A23" s="8" t="inlineStr">
        <is>
          <t>INV-ACJ</t>
        </is>
      </c>
      <c r="B23" s="20" t="inlineStr">
        <is>
          <t>Arturo Chicano Jiménez</t>
        </is>
      </c>
      <c r="C23" s="8" t="inlineStr">
        <is>
          <t>FCT</t>
        </is>
      </c>
      <c r="E23" t="inlineStr">
        <is>
          <t>https://wiki.ead.pucv.cl/Arturo_Chicano</t>
        </is>
      </c>
      <c r="I23" t="inlineStr">
        <is>
          <t>lectura detallada de perfil</t>
        </is>
      </c>
    </row>
    <row r="24">
      <c r="A24" s="8" t="inlineStr">
        <is>
          <t>INV-SAC</t>
        </is>
      </c>
      <c r="B24" s="20" t="inlineStr">
        <is>
          <t>Sylvia Arriagada Cordero</t>
        </is>
      </c>
      <c r="C24" s="8" t="inlineStr">
        <is>
          <t>FCT</t>
        </is>
      </c>
      <c r="E24" t="inlineStr">
        <is>
          <t>https://wiki.ead.pucv.cl/Sylvia_Arriagada</t>
        </is>
      </c>
      <c r="I24" t="inlineStr">
        <is>
          <t>línea explícita + lectura detallada</t>
        </is>
      </c>
    </row>
    <row r="25">
      <c r="A25" s="8" t="inlineStr">
        <is>
          <t>INV-MAA</t>
        </is>
      </c>
      <c r="B25" s="20" t="inlineStr">
        <is>
          <t>Marcelo Araya Aravena</t>
        </is>
      </c>
      <c r="C25" s="8" t="inlineStr">
        <is>
          <t>FCT</t>
        </is>
      </c>
      <c r="E25" t="inlineStr">
        <is>
          <t>https://wiki.ead.pucv.cl/Marcelo_Araya</t>
        </is>
      </c>
      <c r="I25" t="inlineStr">
        <is>
          <t>deducción fundada</t>
        </is>
      </c>
    </row>
    <row r="26" ht="16" customHeight="1" s="24">
      <c r="A26" s="8" t="inlineStr">
        <is>
          <t>INV-EDF</t>
        </is>
      </c>
      <c r="B26" s="8" t="inlineStr">
        <is>
          <t>Emanuela Di Felice</t>
        </is>
      </c>
      <c r="C26" s="8" t="inlineStr">
        <is>
          <t>ECH</t>
        </is>
      </c>
      <c r="D26" t="inlineStr">
        <is>
          <t>EAA</t>
        </is>
      </c>
      <c r="E26" t="inlineStr">
        <is>
          <t>https://wiki.ead.pucv.cl/Emanuela_Di_Felice</t>
        </is>
      </c>
      <c r="I26" t="inlineStr">
        <is>
          <t>consolidado por lectura detallada</t>
        </is>
      </c>
    </row>
    <row r="27">
      <c r="A27" t="inlineStr">
        <is>
          <t>INV-MSF</t>
        </is>
      </c>
      <c r="B27" t="inlineStr">
        <is>
          <t>Manuel Sanfuentes</t>
        </is>
      </c>
      <c r="C27" t="inlineStr">
        <is>
          <t>FCT</t>
        </is>
      </c>
      <c r="I27" t="inlineStr">
        <is>
          <t>agregado oct 2026 desde levantamiento de productividad; área y temas por confirmar</t>
        </is>
      </c>
    </row>
    <row r="28">
      <c r="A28" t="inlineStr">
        <is>
          <t>INV-IMR</t>
        </is>
      </c>
      <c r="B28" t="inlineStr">
        <is>
          <t>Isabel M. Reyes</t>
        </is>
      </c>
      <c r="C28" t="inlineStr">
        <is>
          <t>FCT</t>
        </is>
      </c>
      <c r="I28" t="inlineStr">
        <is>
          <t>agregado oct 2026 desde levantamiento de productividad; área y temas por confirmar</t>
        </is>
      </c>
    </row>
    <row r="29">
      <c r="A29" t="inlineStr">
        <is>
          <t>INV-AGR</t>
        </is>
      </c>
      <c r="B29" t="inlineStr">
        <is>
          <t>Alejandro Garretón</t>
        </is>
      </c>
      <c r="C29" t="inlineStr">
        <is>
          <t>FCT</t>
        </is>
      </c>
      <c r="I29" t="inlineStr">
        <is>
          <t>agregado oct 2026 desde levantamiento de productividad; área y temas por confirmar</t>
        </is>
      </c>
    </row>
    <row r="30">
      <c r="A30" t="inlineStr">
        <is>
          <t>INV-LAV</t>
        </is>
      </c>
      <c r="B30" t="inlineStr">
        <is>
          <t>Leonardo Aravena</t>
        </is>
      </c>
      <c r="C30" t="inlineStr">
        <is>
          <t>FCT</t>
        </is>
      </c>
      <c r="I30" t="inlineStr">
        <is>
          <t>agregado oct 2026 desde levantamiento de productividad; área y temas por confirmar</t>
        </is>
      </c>
    </row>
    <row r="31">
      <c r="A31" t="inlineStr">
        <is>
          <t>INV-ECR</t>
        </is>
      </c>
      <c r="B31" t="inlineStr">
        <is>
          <t>Erick Caro</t>
        </is>
      </c>
      <c r="C31" t="inlineStr">
        <is>
          <t>ECH</t>
        </is>
      </c>
      <c r="I31" t="inlineStr">
        <is>
          <t>agregado oct 2026 desde levantamiento de productividad; área y temas por confirmar</t>
        </is>
      </c>
    </row>
  </sheetData>
  <mergeCells count="2">
    <mergeCell ref="A1:I1"/>
    <mergeCell ref="A2:I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66"/>
  <sheetViews>
    <sheetView workbookViewId="0">
      <pane ySplit="4" topLeftCell="A5" activePane="bottomLeft" state="frozen"/>
      <selection pane="bottomLeft" activeCell="A1" sqref="A1"/>
    </sheetView>
  </sheetViews>
  <sheetFormatPr baseColWidth="10" defaultColWidth="8.83203125" defaultRowHeight="15"/>
  <cols>
    <col width="50" customWidth="1" style="24" min="1" max="1"/>
    <col width="28" customWidth="1" style="24" min="2" max="2"/>
    <col width="80" customWidth="1" style="24" min="3" max="3"/>
  </cols>
  <sheetData>
    <row r="1" ht="18" customHeight="1" s="24">
      <c r="A1" s="26" t="inlineStr">
        <is>
          <t>08 · Temas (sublínea ↔ investigador ↔ tema)</t>
        </is>
      </c>
    </row>
    <row r="2">
      <c r="A2" s="27" t="inlineStr">
        <is>
          <t>Cada fila atribuye un tema concreto a una sublínea y un investigador. Editado a mano: usa los desplegables para elegir sublínea e investigador.</t>
        </is>
      </c>
    </row>
    <row r="4" ht="30" customHeight="1" s="24">
      <c r="A4" s="22" t="inlineStr">
        <is>
          <t>sublínea</t>
        </is>
      </c>
      <c r="B4" s="22" t="inlineStr">
        <is>
          <t>investigador</t>
        </is>
      </c>
      <c r="C4" s="22" t="inlineStr">
        <is>
          <t>tema</t>
        </is>
      </c>
    </row>
    <row r="5">
      <c r="A5" t="inlineStr">
        <is>
          <t>Accesibilidad cognitiva y codiseño</t>
        </is>
      </c>
      <c r="B5" t="inlineStr">
        <is>
          <t>Katherine Exss Cid</t>
        </is>
      </c>
      <c r="C5" t="inlineStr">
        <is>
          <t>Accesibilidad cognitiva</t>
        </is>
      </c>
    </row>
    <row r="6">
      <c r="A6" t="inlineStr">
        <is>
          <t>Accesibilidad cognitiva y codiseño</t>
        </is>
      </c>
      <c r="B6" t="inlineStr">
        <is>
          <t>Herbert Spencer González</t>
        </is>
      </c>
      <c r="C6" t="inlineStr">
        <is>
          <t>Diseño universal desde la accesibilidad cognitiva</t>
        </is>
      </c>
    </row>
    <row r="7">
      <c r="A7" t="inlineStr">
        <is>
          <t>Accesibilidad e inclusión</t>
        </is>
      </c>
      <c r="B7" t="inlineStr">
        <is>
          <t>Katherine Exss Cid</t>
        </is>
      </c>
      <c r="C7" t="inlineStr">
        <is>
          <t>Accesibilidad e inclusión</t>
        </is>
      </c>
    </row>
    <row r="8">
      <c r="A8" t="inlineStr">
        <is>
          <t>Accesibilidad e inclusión</t>
        </is>
      </c>
      <c r="B8" t="inlineStr">
        <is>
          <t>Katherine Exss Cid</t>
        </is>
      </c>
      <c r="C8" t="inlineStr">
        <is>
          <t>Investigación inclusiva</t>
        </is>
      </c>
    </row>
    <row r="9">
      <c r="A9" t="inlineStr">
        <is>
          <t>Accesibilidad e inclusión</t>
        </is>
      </c>
      <c r="B9" t="inlineStr">
        <is>
          <t>Herbert Spencer González</t>
        </is>
      </c>
      <c r="C9" t="inlineStr">
        <is>
          <t>Participación inclusiva</t>
        </is>
      </c>
    </row>
    <row r="10">
      <c r="A10" t="inlineStr">
        <is>
          <t>Acervo histórico de Ciudad Abierta y de la Escuela de Arquitectura y Diseño</t>
        </is>
      </c>
      <c r="B10" t="inlineStr">
        <is>
          <t>Jaime Reyes Gil</t>
        </is>
      </c>
      <c r="C10" t="inlineStr">
        <is>
          <t>Archivo histórico</t>
        </is>
      </c>
    </row>
    <row r="11">
      <c r="A11" t="inlineStr">
        <is>
          <t>Acervo histórico de Ciudad Abierta y de la Escuela de Arquitectura y Diseño</t>
        </is>
      </c>
      <c r="B11" t="inlineStr">
        <is>
          <t>Anna Braghini</t>
        </is>
      </c>
      <c r="C11" t="inlineStr">
        <is>
          <t>Patrimonio cultural de cuadernos-bitácora de la e[ad]</t>
        </is>
      </c>
    </row>
    <row r="12">
      <c r="A12" t="inlineStr">
        <is>
          <t>Acervo histórico de Ciudad Abierta y de la Escuela de Arquitectura y Diseño</t>
        </is>
      </c>
      <c r="B12" t="inlineStr">
        <is>
          <t>Sylvia Arriagada Cordero</t>
        </is>
      </c>
      <c r="C12" t="inlineStr">
        <is>
          <t>Acervo fundacional de la Escuela</t>
        </is>
      </c>
    </row>
    <row r="13">
      <c r="A13" t="inlineStr">
        <is>
          <t>Acervo histórico de Ciudad Abierta y de la Escuela de Arquitectura y Diseño</t>
        </is>
      </c>
      <c r="B13" t="inlineStr">
        <is>
          <t>Sylvia Arriagada Cordero</t>
        </is>
      </c>
      <c r="C13" t="inlineStr">
        <is>
          <t>Heredad creativa del diseño en Travesías</t>
        </is>
      </c>
    </row>
    <row r="14">
      <c r="A14" t="inlineStr">
        <is>
          <t>Acervo histórico de Ciudad Abierta y de la Escuela de Arquitectura y Diseño</t>
        </is>
      </c>
      <c r="B14" t="inlineStr">
        <is>
          <t>David Luza Cornejo</t>
        </is>
      </c>
      <c r="C14" t="inlineStr">
        <is>
          <t>Experimentación arquitectónica en Ciudad Abierta</t>
        </is>
      </c>
    </row>
    <row r="15">
      <c r="A15" t="inlineStr">
        <is>
          <t>Adaptabilidad urbana ante riesgos costeros</t>
        </is>
      </c>
      <c r="B15" t="inlineStr">
        <is>
          <t>Jorge Ferrada Herrera</t>
        </is>
      </c>
      <c r="C15" t="inlineStr">
        <is>
          <t>Borde costero y ciudad-puerto</t>
        </is>
      </c>
    </row>
    <row r="16">
      <c r="A16" t="inlineStr">
        <is>
          <t>Arquitectura como medio didáctico</t>
        </is>
      </c>
      <c r="B16" t="inlineStr">
        <is>
          <t>Rodrigo Saavedra Venegas</t>
        </is>
      </c>
      <c r="C16" t="inlineStr">
        <is>
          <t>Arquitectura como medio didáctico</t>
        </is>
      </c>
    </row>
    <row r="17">
      <c r="A17" t="inlineStr">
        <is>
          <t>Arquitectura como medio didáctico</t>
        </is>
      </c>
      <c r="B17" t="inlineStr">
        <is>
          <t>Rodrigo Saavedra Venegas</t>
        </is>
      </c>
      <c r="C17" t="inlineStr">
        <is>
          <t>Capacidad didáctica de la obra</t>
        </is>
      </c>
    </row>
    <row r="18">
      <c r="A18" t="inlineStr">
        <is>
          <t>Comunicación aumentativa y alternativa</t>
        </is>
      </c>
      <c r="B18" t="inlineStr">
        <is>
          <t>Herbert Spencer González</t>
        </is>
      </c>
      <c r="C18" t="inlineStr">
        <is>
          <t>Comunicación aumentativa alternativa</t>
        </is>
      </c>
    </row>
    <row r="19">
      <c r="A19" t="inlineStr">
        <is>
          <t>Diseño arquitectónico</t>
        </is>
      </c>
      <c r="B19" t="inlineStr">
        <is>
          <t>Ursula Exss Cid</t>
        </is>
      </c>
      <c r="C19" t="inlineStr">
        <is>
          <t>Diseño arquitectónico</t>
        </is>
      </c>
    </row>
    <row r="20">
      <c r="A20" t="inlineStr">
        <is>
          <t>Diseño arquitectónico</t>
        </is>
      </c>
      <c r="B20" t="inlineStr">
        <is>
          <t>Óscar Andrade Castro</t>
        </is>
      </c>
      <c r="C20" t="inlineStr">
        <is>
          <t>Diseño arquitectónico</t>
        </is>
      </c>
    </row>
    <row r="21">
      <c r="A21" t="inlineStr">
        <is>
          <t>Diseño de espacios educativos</t>
        </is>
      </c>
      <c r="B21" t="inlineStr">
        <is>
          <t>Ursula Exss Cid</t>
        </is>
      </c>
      <c r="C21" t="inlineStr">
        <is>
          <t>Diseño de espacios educativos</t>
        </is>
      </c>
    </row>
    <row r="22">
      <c r="A22" t="inlineStr">
        <is>
          <t>Diseño de espacios educativos</t>
        </is>
      </c>
      <c r="B22" t="inlineStr">
        <is>
          <t>Ursula Exss Cid</t>
        </is>
      </c>
      <c r="C22" t="inlineStr">
        <is>
          <t>Espacios educativos</t>
        </is>
      </c>
    </row>
    <row r="23">
      <c r="A23" t="inlineStr">
        <is>
          <t>Diseño de espacios educativos</t>
        </is>
      </c>
      <c r="B23" t="inlineStr">
        <is>
          <t>Ursula Exss Cid</t>
        </is>
      </c>
      <c r="C23" t="inlineStr">
        <is>
          <t>Arquitectura escolar</t>
        </is>
      </c>
    </row>
    <row r="24">
      <c r="A24" t="inlineStr">
        <is>
          <t>Diseño de interacción, servicios y experiencia de usuario</t>
        </is>
      </c>
      <c r="B24" t="inlineStr">
        <is>
          <t>Katherine Exss Cid</t>
        </is>
      </c>
      <c r="C24" t="inlineStr">
        <is>
          <t>Diseño de interacción y experiencia de usuarios</t>
        </is>
      </c>
    </row>
    <row r="25">
      <c r="A25" t="inlineStr">
        <is>
          <t>Diseño de interacción, servicios y experiencia de usuario</t>
        </is>
      </c>
      <c r="B25" t="inlineStr">
        <is>
          <t>Herbert Spencer González</t>
        </is>
      </c>
      <c r="C25" t="inlineStr">
        <is>
          <t>Diseño de interacción y servicios</t>
        </is>
      </c>
    </row>
    <row r="26">
      <c r="A26" t="inlineStr">
        <is>
          <t>Diseño de interacción, servicios y experiencia de usuario</t>
        </is>
      </c>
      <c r="B26" t="inlineStr">
        <is>
          <t>Marcelo Araya Aravena</t>
        </is>
      </c>
      <c r="C26" t="inlineStr">
        <is>
          <t>Interacción como material de diseño</t>
        </is>
      </c>
    </row>
    <row r="27">
      <c r="A27" t="inlineStr">
        <is>
          <t>Diseño de interacción, servicios y experiencia de usuario</t>
        </is>
      </c>
      <c r="B27" t="inlineStr">
        <is>
          <t>Marcelo Araya Aravena</t>
        </is>
      </c>
      <c r="C27" t="inlineStr">
        <is>
          <t>Interacción física en espacios expositivos</t>
        </is>
      </c>
    </row>
    <row r="28">
      <c r="A28" t="inlineStr">
        <is>
          <t>Diseño y vida independiente</t>
        </is>
      </c>
      <c r="B28" t="inlineStr">
        <is>
          <t>Herbert Spencer González</t>
        </is>
      </c>
      <c r="C28" t="inlineStr">
        <is>
          <t>Diseño y vida independiente</t>
        </is>
      </c>
    </row>
    <row r="29">
      <c r="A29" t="inlineStr">
        <is>
          <t>El sentido de la hospitalidad</t>
        </is>
      </c>
      <c r="B29" t="inlineStr">
        <is>
          <t>Juan Carlos Jeldes Pontio</t>
        </is>
      </c>
      <c r="C29" t="inlineStr">
        <is>
          <t>Mediación territorial y hospitalidad en lo habitable</t>
        </is>
      </c>
    </row>
    <row r="30">
      <c r="A30" t="inlineStr">
        <is>
          <t>Espacios de aprendizaje en contextos vulnerables</t>
        </is>
      </c>
      <c r="B30" t="inlineStr">
        <is>
          <t>Rodrigo Saavedra Venegas</t>
        </is>
      </c>
      <c r="C30" t="inlineStr">
        <is>
          <t>Espacios de aprendizaje en contextos socialmente vulnerables</t>
        </is>
      </c>
    </row>
    <row r="31">
      <c r="A31" t="inlineStr">
        <is>
          <t>Espacios de estimulación temprana</t>
        </is>
      </c>
      <c r="B31" t="inlineStr">
        <is>
          <t>Rodrigo Saavedra Venegas</t>
        </is>
      </c>
      <c r="C31" t="inlineStr">
        <is>
          <t>Estimulación temprana</t>
        </is>
      </c>
    </row>
    <row r="32">
      <c r="A32" t="inlineStr">
        <is>
          <t>Espacios educativos en contextos vulnerables</t>
        </is>
      </c>
      <c r="B32" t="inlineStr">
        <is>
          <t>Rodrigo Saavedra Venegas</t>
        </is>
      </c>
      <c r="C32" t="inlineStr">
        <is>
          <t>Espacios de aprendizaje en contextos socialmente vulnerables</t>
        </is>
      </c>
    </row>
    <row r="33">
      <c r="A33" t="inlineStr">
        <is>
          <t>Industrias creativas e innovación social para el desarrollo local</t>
        </is>
      </c>
      <c r="B33" t="inlineStr">
        <is>
          <t>Arturo Chicano Jiménez</t>
        </is>
      </c>
      <c r="C33" t="inlineStr">
        <is>
          <t>Innovación social y tecnológica</t>
        </is>
      </c>
    </row>
    <row r="34">
      <c r="A34" t="inlineStr">
        <is>
          <t>Medios de aprendizaje en arquitectura y diseño</t>
        </is>
      </c>
      <c r="B34" t="inlineStr">
        <is>
          <t>Michèle Wilkomirsky Uribe</t>
        </is>
      </c>
      <c r="C34" t="inlineStr">
        <is>
          <t>Pedagogía del Diseño</t>
        </is>
      </c>
    </row>
    <row r="35">
      <c r="A35" t="inlineStr">
        <is>
          <t>Medios de aprendizaje en arquitectura y diseño</t>
        </is>
      </c>
      <c r="B35" t="inlineStr">
        <is>
          <t>Michèle Wilkomirsky Uribe</t>
        </is>
      </c>
      <c r="C35" t="inlineStr">
        <is>
          <t>Diseño de información visual</t>
        </is>
      </c>
    </row>
    <row r="36">
      <c r="A36" t="inlineStr">
        <is>
          <t>Métodos de diseño</t>
        </is>
      </c>
      <c r="B36" t="inlineStr">
        <is>
          <t>Katherine Exss Cid</t>
        </is>
      </c>
      <c r="C36" t="inlineStr">
        <is>
          <t>Metodologías y métodos de diseño</t>
        </is>
      </c>
    </row>
    <row r="37">
      <c r="A37" t="inlineStr">
        <is>
          <t>Métodos de diseño</t>
        </is>
      </c>
      <c r="B37" t="inlineStr">
        <is>
          <t>Adriana Marín Toro</t>
        </is>
      </c>
      <c r="C37" t="inlineStr">
        <is>
          <t>Metodologías de investigación cualitativa</t>
        </is>
      </c>
    </row>
    <row r="38">
      <c r="A38" t="inlineStr">
        <is>
          <t>Perspectivas decoloniales</t>
        </is>
      </c>
      <c r="B38" t="inlineStr">
        <is>
          <t>Álvaro Mercado Jara</t>
        </is>
      </c>
      <c r="C38" t="inlineStr">
        <is>
          <t>Decolonialidad y urbanización</t>
        </is>
      </c>
    </row>
    <row r="39">
      <c r="A39" t="inlineStr">
        <is>
          <t>Perspectivas decoloniales</t>
        </is>
      </c>
      <c r="B39" t="inlineStr">
        <is>
          <t>Daniela Salgado Cofré</t>
        </is>
      </c>
      <c r="C39" t="inlineStr">
        <is>
          <t>Diseño decolonial</t>
        </is>
      </c>
    </row>
    <row r="40">
      <c r="A40" t="inlineStr">
        <is>
          <t>Prácticas colectivas</t>
        </is>
      </c>
      <c r="B40" t="inlineStr">
        <is>
          <t>Iván Ivelic Yanes</t>
        </is>
      </c>
      <c r="C40" t="inlineStr">
        <is>
          <t>Creación colectiva y experimentación arquitectónica</t>
        </is>
      </c>
    </row>
    <row r="41">
      <c r="A41" t="inlineStr">
        <is>
          <t>Prácticas colectivas</t>
        </is>
      </c>
      <c r="B41" t="inlineStr">
        <is>
          <t>Emanuela Di Felice</t>
        </is>
      </c>
      <c r="C41" t="inlineStr">
        <is>
          <t>Cooperativismo</t>
        </is>
      </c>
    </row>
    <row r="42">
      <c r="A42" t="inlineStr">
        <is>
          <t>Prácticas colectivas</t>
        </is>
      </c>
      <c r="B42" t="inlineStr">
        <is>
          <t>Emanuela Di Felice</t>
        </is>
      </c>
      <c r="C42" t="inlineStr">
        <is>
          <t>Movimientos autogestionados</t>
        </is>
      </c>
    </row>
    <row r="43">
      <c r="A43" t="inlineStr">
        <is>
          <t>Saberes técnicos análogos</t>
        </is>
      </c>
      <c r="B43" t="inlineStr">
        <is>
          <t>Daniela Salgado Cofré</t>
        </is>
      </c>
      <c r="C43" t="inlineStr">
        <is>
          <t>Diseño y artesanía</t>
        </is>
      </c>
    </row>
    <row r="44">
      <c r="A44" t="inlineStr">
        <is>
          <t>Saberes técnicos análogos</t>
        </is>
      </c>
      <c r="B44" t="inlineStr">
        <is>
          <t>Daniela Salgado Cofré</t>
        </is>
      </c>
      <c r="C44" t="inlineStr">
        <is>
          <t>Interacción entre oficio y cultura</t>
        </is>
      </c>
    </row>
    <row r="45">
      <c r="A45" t="inlineStr">
        <is>
          <t>Teoría e historia de la arquitectura</t>
        </is>
      </c>
      <c r="B45" t="inlineStr">
        <is>
          <t>Ursula Exss Cid</t>
        </is>
      </c>
      <c r="C45" t="inlineStr">
        <is>
          <t>Teoría de la arquitectura</t>
        </is>
      </c>
    </row>
    <row r="46">
      <c r="A46" t="inlineStr">
        <is>
          <t>Teoría e historia de la arquitectura</t>
        </is>
      </c>
      <c r="B46" t="inlineStr">
        <is>
          <t>Óscar Andrade Castro</t>
        </is>
      </c>
      <c r="C46" t="inlineStr">
        <is>
          <t>Teoría de la arquitectura</t>
        </is>
      </c>
    </row>
    <row r="47">
      <c r="A47" t="inlineStr">
        <is>
          <t>Teoría e historia de la arquitectura</t>
        </is>
      </c>
      <c r="B47" t="inlineStr">
        <is>
          <t>Anna Braghini</t>
        </is>
      </c>
      <c r="C47" t="inlineStr">
        <is>
          <t>Historia y crítica de la arquitectura moderna</t>
        </is>
      </c>
    </row>
    <row r="48">
      <c r="A48" t="inlineStr">
        <is>
          <t>Teoría e historia de la arquitectura</t>
        </is>
      </c>
      <c r="B48" t="inlineStr">
        <is>
          <t>Anna Braghini</t>
        </is>
      </c>
      <c r="C48" t="inlineStr">
        <is>
          <t>Arquitectura moderna latinoamericana</t>
        </is>
      </c>
    </row>
    <row r="49">
      <c r="A49" t="inlineStr">
        <is>
          <t>Transferencia de medios tecnológicos con aplicación al emprendimiento local</t>
        </is>
      </c>
      <c r="B49" t="inlineStr">
        <is>
          <t>Juan Carlos Jeldes Pontio</t>
        </is>
      </c>
      <c r="C49" t="inlineStr">
        <is>
          <t>Transferencia tecnológica distribuida</t>
        </is>
      </c>
    </row>
    <row r="50">
      <c r="A50" t="inlineStr">
        <is>
          <t>Transferencia de medios tecnológicos con aplicación al emprendimiento local</t>
        </is>
      </c>
      <c r="B50" t="inlineStr">
        <is>
          <t>Arturo Chicano Jiménez</t>
        </is>
      </c>
      <c r="C50" t="inlineStr">
        <is>
          <t>Transferencias disciplinares y formativas</t>
        </is>
      </c>
    </row>
    <row r="51">
      <c r="A51" t="inlineStr">
        <is>
          <t>Travesías y geopoética</t>
        </is>
      </c>
      <c r="B51" t="inlineStr">
        <is>
          <t>Emanuela Di Felice</t>
        </is>
      </c>
      <c r="C51" t="inlineStr">
        <is>
          <t>Caminar como práctica estética y artística</t>
        </is>
      </c>
    </row>
    <row r="52">
      <c r="A52" t="inlineStr">
        <is>
          <t>Travesías y geopoética</t>
        </is>
      </c>
      <c r="B52" t="inlineStr">
        <is>
          <t>Emanuela Di Felice</t>
        </is>
      </c>
      <c r="C52" t="inlineStr">
        <is>
          <t>Deriva urbana</t>
        </is>
      </c>
    </row>
    <row r="53">
      <c r="A53" t="inlineStr">
        <is>
          <t>Urbanización, urbanismo y ecología política</t>
        </is>
      </c>
      <c r="B53" t="inlineStr">
        <is>
          <t>Álvaro Mercado Jara</t>
        </is>
      </c>
      <c r="C53" t="inlineStr">
        <is>
          <t>Urbanización capitalista y extractiva</t>
        </is>
      </c>
    </row>
    <row r="54">
      <c r="A54" t="inlineStr">
        <is>
          <t>Urbanización, urbanismo y ecología política</t>
        </is>
      </c>
      <c r="B54" t="inlineStr">
        <is>
          <t>Álvaro Mercado Jara</t>
        </is>
      </c>
      <c r="C54" t="inlineStr">
        <is>
          <t>Ecología política y diseño de la transición</t>
        </is>
      </c>
    </row>
    <row r="55">
      <c r="A55" t="inlineStr">
        <is>
          <t>Urbanización, urbanismo y ecología política</t>
        </is>
      </c>
      <c r="B55" t="inlineStr">
        <is>
          <t>Adriana Marín Toro</t>
        </is>
      </c>
      <c r="C55" t="inlineStr">
        <is>
          <t>Teoría urbana</t>
        </is>
      </c>
    </row>
    <row r="56">
      <c r="A56" t="inlineStr">
        <is>
          <t>Vulnerabilidad física de asentamientos costeros</t>
        </is>
      </c>
      <c r="B56" t="inlineStr">
        <is>
          <t>Jorge Ferrada Herrera</t>
        </is>
      </c>
      <c r="C56" t="inlineStr">
        <is>
          <t>Borde costero y ciudad-puerto</t>
        </is>
      </c>
    </row>
    <row r="57">
      <c r="A57" t="inlineStr">
        <is>
          <t>Adaptación formal ante desastres</t>
        </is>
      </c>
      <c r="B57" t="inlineStr">
        <is>
          <t>Álvaro Mercado Jara</t>
        </is>
      </c>
      <c r="C57" t="inlineStr">
        <is>
          <t>Resiliencias humanas y más-que-humanas</t>
        </is>
      </c>
    </row>
    <row r="58">
      <c r="A58" t="inlineStr">
        <is>
          <t>El vacío arquitectónico</t>
        </is>
      </c>
      <c r="B58" t="inlineStr">
        <is>
          <t>Anna Braghini</t>
        </is>
      </c>
      <c r="C58" t="inlineStr">
        <is>
          <t>Estudio del concepto de espacio</t>
        </is>
      </c>
    </row>
    <row r="59">
      <c r="A59" t="inlineStr">
        <is>
          <t>Formación en pensamiento y acción creativa</t>
        </is>
      </c>
      <c r="B59" t="inlineStr">
        <is>
          <t>Arturo Chicano Jiménez</t>
        </is>
      </c>
      <c r="C59" t="inlineStr">
        <is>
          <t>Transferencias disciplinares y formativas</t>
        </is>
      </c>
    </row>
    <row r="60">
      <c r="A60" t="inlineStr">
        <is>
          <t>Formación en pensamiento y acción creativa</t>
        </is>
      </c>
      <c r="B60" t="inlineStr">
        <is>
          <t>Juan Carlos Jeldes Pontio</t>
        </is>
      </c>
      <c r="C60" t="inlineStr">
        <is>
          <t>Aprendizaje desde el hacer-crear</t>
        </is>
      </c>
    </row>
    <row r="61">
      <c r="A61" t="inlineStr">
        <is>
          <t>Formación en pensamiento y acción creativa</t>
        </is>
      </c>
      <c r="B61" t="inlineStr">
        <is>
          <t>Juan Carlos Jeldes Pontio</t>
        </is>
      </c>
      <c r="C61" t="inlineStr">
        <is>
          <t>Investigación proyectual</t>
        </is>
      </c>
    </row>
    <row r="62">
      <c r="A62" t="inlineStr">
        <is>
          <t>Programas educativos y espacios escolares</t>
        </is>
      </c>
      <c r="B62" t="inlineStr">
        <is>
          <t>Ursula Exss Cid</t>
        </is>
      </c>
      <c r="C62" t="inlineStr">
        <is>
          <t>Arquitectura escolar</t>
        </is>
      </c>
    </row>
    <row r="63">
      <c r="A63" t="inlineStr">
        <is>
          <t>Programas educativos y espacios escolares</t>
        </is>
      </c>
      <c r="B63" t="inlineStr">
        <is>
          <t>Ursula Exss Cid</t>
        </is>
      </c>
      <c r="C63" t="inlineStr">
        <is>
          <t>Espacios educativos</t>
        </is>
      </c>
    </row>
    <row r="64">
      <c r="A64" t="inlineStr">
        <is>
          <t>Proyecto de arquitectura escolar</t>
        </is>
      </c>
      <c r="B64" t="inlineStr">
        <is>
          <t>Ursula Exss Cid</t>
        </is>
      </c>
      <c r="C64" t="inlineStr">
        <is>
          <t>Arquitectura escolar</t>
        </is>
      </c>
    </row>
    <row r="65">
      <c r="A65" t="inlineStr">
        <is>
          <t>Proyecto de arquitectura escolar</t>
        </is>
      </c>
      <c r="B65" t="inlineStr">
        <is>
          <t>Rodrigo Saavedra Venegas</t>
        </is>
      </c>
      <c r="C65" t="inlineStr">
        <is>
          <t>Capacidad didáctica de la obra</t>
        </is>
      </c>
    </row>
    <row r="66">
      <c r="A66" t="inlineStr">
        <is>
          <t>Vivienda, financiarización y políticas habitacionales</t>
        </is>
      </c>
      <c r="B66" t="inlineStr">
        <is>
          <t>Adriana Marín Toro</t>
        </is>
      </c>
      <c r="C66" t="inlineStr">
        <is>
          <t>Vivienda en arriendo</t>
        </is>
      </c>
    </row>
    <row r="67">
      <c r="A67" t="inlineStr">
        <is>
          <t>Vivienda, financiarización y políticas habitacionales</t>
        </is>
      </c>
      <c r="B67" t="inlineStr">
        <is>
          <t>Adriana Marín Toro</t>
        </is>
      </c>
      <c r="C67" t="inlineStr">
        <is>
          <t>Financiarización de la vivienda</t>
        </is>
      </c>
    </row>
    <row r="68">
      <c r="A68" t="inlineStr">
        <is>
          <t>Comunes, comunalidad y resiliencias socioecológicas</t>
        </is>
      </c>
      <c r="B68" t="inlineStr">
        <is>
          <t>Álvaro Mercado Jara</t>
        </is>
      </c>
      <c r="C68" t="inlineStr">
        <is>
          <t>Comunes y comunalidad</t>
        </is>
      </c>
    </row>
    <row r="69">
      <c r="A69" t="inlineStr">
        <is>
          <t>Comunes, comunalidad y resiliencias socioecológicas</t>
        </is>
      </c>
      <c r="B69" t="inlineStr">
        <is>
          <t>Álvaro Mercado Jara</t>
        </is>
      </c>
      <c r="C69" t="inlineStr">
        <is>
          <t>Resiliencias humanas y más-que-humanas</t>
        </is>
      </c>
    </row>
    <row r="70">
      <c r="A70" t="inlineStr">
        <is>
          <t>Comunes, comunalidad y resiliencias socioecológicas</t>
        </is>
      </c>
      <c r="B70" t="inlineStr">
        <is>
          <t>Álvaro Mercado Jara</t>
        </is>
      </c>
      <c r="C70" t="inlineStr">
        <is>
          <t>Transformaciones socioecológicas</t>
        </is>
      </c>
    </row>
    <row r="71">
      <c r="A71" t="inlineStr">
        <is>
          <t>Comunes, comunalidad y resiliencias socioecológicas</t>
        </is>
      </c>
      <c r="B71" t="inlineStr">
        <is>
          <t>Álvaro Mercado Jara</t>
        </is>
      </c>
      <c r="C71" t="inlineStr">
        <is>
          <t>Frontera, relacionalidad y diferencia</t>
        </is>
      </c>
    </row>
    <row r="72">
      <c r="A72" t="inlineStr">
        <is>
          <t>Comunes, comunalidad y resiliencias socioecológicas</t>
        </is>
      </c>
      <c r="B72" t="inlineStr">
        <is>
          <t>Marcelo Araya Aravena</t>
        </is>
      </c>
      <c r="C72" t="inlineStr">
        <is>
          <t>Multiterritorialidad y frontera</t>
        </is>
      </c>
    </row>
    <row r="73">
      <c r="A73" t="inlineStr">
        <is>
          <t>Movilidad, infraestructura urbana y equipamiento</t>
        </is>
      </c>
      <c r="B73" t="inlineStr">
        <is>
          <t>David Luza Cornejo</t>
        </is>
      </c>
      <c r="C73" t="inlineStr">
        <is>
          <t>Habitabilidad en infraestructura urbana</t>
        </is>
      </c>
    </row>
    <row r="74">
      <c r="A74" t="inlineStr">
        <is>
          <t>Movilidad, infraestructura urbana y equipamiento</t>
        </is>
      </c>
      <c r="B74" t="inlineStr">
        <is>
          <t>David Luza Cornejo</t>
        </is>
      </c>
      <c r="C74" t="inlineStr">
        <is>
          <t>Equipamiento e infraestructura urbana</t>
        </is>
      </c>
    </row>
    <row r="75">
      <c r="A75" t="inlineStr">
        <is>
          <t>Movilidad, infraestructura urbana y equipamiento</t>
        </is>
      </c>
      <c r="B75" t="inlineStr">
        <is>
          <t>David Luza Cornejo</t>
        </is>
      </c>
      <c r="C75" t="inlineStr">
        <is>
          <t>Movilidad sustentable</t>
        </is>
      </c>
    </row>
    <row r="76">
      <c r="A76" t="inlineStr">
        <is>
          <t>Movilidad, infraestructura urbana y equipamiento</t>
        </is>
      </c>
      <c r="B76" t="inlineStr">
        <is>
          <t>David Luza Cornejo</t>
        </is>
      </c>
      <c r="C76" t="inlineStr">
        <is>
          <t>Habitabilidad en infraestructura urbana técnica y natural</t>
        </is>
      </c>
    </row>
    <row r="77">
      <c r="A77" t="inlineStr">
        <is>
          <t>Movilidad, infraestructura urbana y equipamiento</t>
        </is>
      </c>
      <c r="B77" t="inlineStr">
        <is>
          <t>David Luza Cornejo</t>
        </is>
      </c>
      <c r="C77" t="inlineStr">
        <is>
          <t>Temas urbanos</t>
        </is>
      </c>
    </row>
    <row r="78">
      <c r="A78" t="inlineStr">
        <is>
          <t>Movilidad, infraestructura urbana y equipamiento</t>
        </is>
      </c>
      <c r="B78" t="inlineStr">
        <is>
          <t>David Luza Cornejo</t>
        </is>
      </c>
      <c r="C78" t="inlineStr">
        <is>
          <t>Ciudad y territorio</t>
        </is>
      </c>
    </row>
    <row r="79">
      <c r="A79" t="inlineStr">
        <is>
          <t>Movilidad, infraestructura urbana y equipamiento</t>
        </is>
      </c>
      <c r="B79" t="inlineStr">
        <is>
          <t>Iván Ivelic Yanes</t>
        </is>
      </c>
      <c r="C79" t="inlineStr">
        <is>
          <t>Equipamientos de interpretación, educación y servicios</t>
        </is>
      </c>
    </row>
    <row r="80">
      <c r="A80" t="inlineStr">
        <is>
          <t>Movilidad, infraestructura urbana y equipamiento</t>
        </is>
      </c>
      <c r="B80" t="inlineStr">
        <is>
          <t>Iván Ivelic Yanes</t>
        </is>
      </c>
      <c r="C80" t="inlineStr">
        <is>
          <t>Equipamiento cultural</t>
        </is>
      </c>
    </row>
    <row r="81">
      <c r="A81" t="inlineStr">
        <is>
          <t>Movilidad, infraestructura urbana y equipamiento</t>
        </is>
      </c>
      <c r="B81" t="inlineStr">
        <is>
          <t>Jorge Ferrada Herrera</t>
        </is>
      </c>
      <c r="C81" t="inlineStr">
        <is>
          <t>Movilidad y orden urbano en Valparaíso</t>
        </is>
      </c>
    </row>
    <row r="82">
      <c r="A82" t="inlineStr">
        <is>
          <t>Movilidad, infraestructura urbana y equipamiento</t>
        </is>
      </c>
      <c r="B82" t="inlineStr">
        <is>
          <t>Jorge Ferrada Herrera</t>
        </is>
      </c>
      <c r="C82" t="inlineStr">
        <is>
          <t>Muros de contención como estructura urbana</t>
        </is>
      </c>
    </row>
    <row r="83">
      <c r="A83" t="inlineStr">
        <is>
          <t>Ciudad-teatro y apropiación escénica del espacio público</t>
        </is>
      </c>
      <c r="B83" t="inlineStr">
        <is>
          <t>Andrés Garcés Alzamora</t>
        </is>
      </c>
      <c r="C83" t="inlineStr">
        <is>
          <t>Ciudad-teatro</t>
        </is>
      </c>
    </row>
    <row r="84">
      <c r="A84" t="inlineStr">
        <is>
          <t>Ciudad-teatro y apropiación escénica del espacio público</t>
        </is>
      </c>
      <c r="B84" t="inlineStr">
        <is>
          <t>Andrés Garcés Alzamora</t>
        </is>
      </c>
      <c r="C84" t="inlineStr">
        <is>
          <t>Cultura y ciudad</t>
        </is>
      </c>
    </row>
    <row r="85">
      <c r="A85" t="inlineStr">
        <is>
          <t>Ciudad-teatro y apropiación escénica del espacio público</t>
        </is>
      </c>
      <c r="B85" t="inlineStr">
        <is>
          <t>Andrés Garcés Alzamora</t>
        </is>
      </c>
      <c r="C85" t="inlineStr">
        <is>
          <t>Fenómenos sociales informales</t>
        </is>
      </c>
    </row>
    <row r="86">
      <c r="A86" t="inlineStr">
        <is>
          <t>Ciudad-teatro y apropiación escénica del espacio público</t>
        </is>
      </c>
      <c r="B86" t="inlineStr">
        <is>
          <t>Andrés Garcés Alzamora</t>
        </is>
      </c>
      <c r="C86" t="inlineStr">
        <is>
          <t>Apropiación del espacio público como acto escénico</t>
        </is>
      </c>
    </row>
    <row r="87">
      <c r="A87" t="inlineStr">
        <is>
          <t>Ciudad-teatro y apropiación escénica del espacio público</t>
        </is>
      </c>
      <c r="B87" t="inlineStr">
        <is>
          <t>Andrés Garcés Alzamora</t>
        </is>
      </c>
      <c r="C87" t="inlineStr">
        <is>
          <t>Espacio y forma arquitectónica</t>
        </is>
      </c>
    </row>
    <row r="88">
      <c r="A88" t="inlineStr">
        <is>
          <t>Naturaleza, paisaje y patrimonio natural</t>
        </is>
      </c>
      <c r="B88" t="inlineStr">
        <is>
          <t>Iván Ivelic Yanes</t>
        </is>
      </c>
      <c r="C88" t="inlineStr">
        <is>
          <t>Áreas naturales protegidas</t>
        </is>
      </c>
    </row>
    <row r="89">
      <c r="A89" t="inlineStr">
        <is>
          <t>Naturaleza, paisaje y patrimonio natural</t>
        </is>
      </c>
      <c r="B89" t="inlineStr">
        <is>
          <t>Iván Ivelic Yanes</t>
        </is>
      </c>
      <c r="C89" t="inlineStr">
        <is>
          <t>Relación artificio y naturaleza</t>
        </is>
      </c>
    </row>
    <row r="90">
      <c r="A90" t="inlineStr">
        <is>
          <t>Naturaleza, paisaje y patrimonio natural</t>
        </is>
      </c>
      <c r="B90" t="inlineStr">
        <is>
          <t>Iván Ivelic Yanes</t>
        </is>
      </c>
      <c r="C90" t="inlineStr">
        <is>
          <t>Patrimonio natural y cultural</t>
        </is>
      </c>
    </row>
    <row r="91">
      <c r="A91" t="inlineStr">
        <is>
          <t>Naturaleza, paisaje y patrimonio natural</t>
        </is>
      </c>
      <c r="B91" t="inlineStr">
        <is>
          <t>Iván Ivelic Yanes</t>
        </is>
      </c>
      <c r="C91" t="inlineStr">
        <is>
          <t>Sustentabilidad del patrimonio</t>
        </is>
      </c>
    </row>
    <row r="92">
      <c r="A92" t="inlineStr">
        <is>
          <t>Naturaleza, paisaje y patrimonio natural</t>
        </is>
      </c>
      <c r="B92" t="inlineStr">
        <is>
          <t>Iván Ivelic Yanes</t>
        </is>
      </c>
      <c r="C92" t="inlineStr">
        <is>
          <t>Arquitectura como interfaz entre habitante y naturaleza</t>
        </is>
      </c>
    </row>
    <row r="93">
      <c r="A93" t="inlineStr">
        <is>
          <t>Naturaleza, paisaje y patrimonio natural</t>
        </is>
      </c>
      <c r="B93" t="inlineStr">
        <is>
          <t>Iván Ivelic Yanes</t>
        </is>
      </c>
      <c r="C93" t="inlineStr">
        <is>
          <t>Áreas urbanas</t>
        </is>
      </c>
    </row>
    <row r="94">
      <c r="A94" t="inlineStr">
        <is>
          <t>Patrimonio arquitectónico y rehabilitación</t>
        </is>
      </c>
      <c r="B94" t="inlineStr">
        <is>
          <t>Jorge Ferrada Herrera</t>
        </is>
      </c>
      <c r="C94" t="inlineStr">
        <is>
          <t>Patrimonio arquitectónico y territorial</t>
        </is>
      </c>
    </row>
    <row r="95">
      <c r="A95" t="inlineStr">
        <is>
          <t>Patrimonio arquitectónico y rehabilitación</t>
        </is>
      </c>
      <c r="B95" t="inlineStr">
        <is>
          <t>Jorge Ferrada Herrera</t>
        </is>
      </c>
      <c r="C95" t="inlineStr">
        <is>
          <t>Rehabilitación patrimonial</t>
        </is>
      </c>
    </row>
    <row r="96">
      <c r="A96" t="inlineStr">
        <is>
          <t>Patrimonio arquitectónico y rehabilitación</t>
        </is>
      </c>
      <c r="B96" t="inlineStr">
        <is>
          <t>Jorge Ferrada Herrera</t>
        </is>
      </c>
      <c r="C96" t="inlineStr">
        <is>
          <t>Frentes marítimos y ribereños</t>
        </is>
      </c>
    </row>
    <row r="97">
      <c r="A97" t="inlineStr">
        <is>
          <t>Patrimonio arquitectónico y rehabilitación</t>
        </is>
      </c>
      <c r="B97" t="inlineStr">
        <is>
          <t>Jorge Ferrada Herrera</t>
        </is>
      </c>
      <c r="C97" t="inlineStr">
        <is>
          <t>Territorio marítimo y portuario</t>
        </is>
      </c>
    </row>
    <row r="98">
      <c r="A98" t="inlineStr">
        <is>
          <t>Patrimonio arquitectónico y rehabilitación</t>
        </is>
      </c>
      <c r="B98" t="inlineStr">
        <is>
          <t>Marcelo Araya Aravena</t>
        </is>
      </c>
      <c r="C98" t="inlineStr">
        <is>
          <t>Patrimonio urbano y memoria material</t>
        </is>
      </c>
    </row>
    <row r="99">
      <c r="A99" t="inlineStr">
        <is>
          <t>Urbanismo afectivo, deriva y reuso del patrimonio</t>
        </is>
      </c>
      <c r="B99" t="inlineStr">
        <is>
          <t>Emanuela Di Felice</t>
        </is>
      </c>
      <c r="C99" t="inlineStr">
        <is>
          <t>Deriva urbana</t>
        </is>
      </c>
    </row>
    <row r="100">
      <c r="A100" t="inlineStr">
        <is>
          <t>Urbanismo afectivo, deriva y reuso del patrimonio</t>
        </is>
      </c>
      <c r="B100" t="inlineStr">
        <is>
          <t>Emanuela Di Felice</t>
        </is>
      </c>
      <c r="C100" t="inlineStr">
        <is>
          <t>Urbanismo afectivo</t>
        </is>
      </c>
    </row>
    <row r="101">
      <c r="A101" t="inlineStr">
        <is>
          <t>Urbanismo afectivo, deriva y reuso del patrimonio</t>
        </is>
      </c>
      <c r="B101" t="inlineStr">
        <is>
          <t>Emanuela Di Felice</t>
        </is>
      </c>
      <c r="C101" t="inlineStr">
        <is>
          <t>Reutilización del patrimonio abandonado</t>
        </is>
      </c>
    </row>
    <row r="102">
      <c r="A102" t="inlineStr">
        <is>
          <t>Urbanismo afectivo, deriva y reuso del patrimonio</t>
        </is>
      </c>
      <c r="B102" t="inlineStr">
        <is>
          <t>Emanuela Di Felice</t>
        </is>
      </c>
      <c r="C102" t="inlineStr">
        <is>
          <t>Reuso del patrimonio público en abandono</t>
        </is>
      </c>
    </row>
    <row r="103">
      <c r="A103" t="inlineStr">
        <is>
          <t>Investigación-acción y artes urbanas</t>
        </is>
      </c>
      <c r="B103" t="inlineStr">
        <is>
          <t>Emanuela Di Felice</t>
        </is>
      </c>
      <c r="C103" t="inlineStr">
        <is>
          <t>Investigación-acción</t>
        </is>
      </c>
    </row>
    <row r="104">
      <c r="A104" t="inlineStr">
        <is>
          <t>Investigación-acción y artes urbanas</t>
        </is>
      </c>
      <c r="B104" t="inlineStr">
        <is>
          <t>Emanuela Di Felice</t>
        </is>
      </c>
      <c r="C104" t="inlineStr">
        <is>
          <t>Artes urbanas</t>
        </is>
      </c>
    </row>
    <row r="105">
      <c r="A105" t="inlineStr">
        <is>
          <t>Evaluación social y políticas públicas de inversión</t>
        </is>
      </c>
      <c r="B105" t="inlineStr">
        <is>
          <t>Lorena Herrera Ponce</t>
        </is>
      </c>
      <c r="C105" t="inlineStr">
        <is>
          <t>Inversión pública y evaluación social de proyectos</t>
        </is>
      </c>
    </row>
    <row r="106">
      <c r="A106" t="inlineStr">
        <is>
          <t>Evaluación social y políticas públicas de inversión</t>
        </is>
      </c>
      <c r="B106" t="inlineStr">
        <is>
          <t>Lorena Herrera Ponce</t>
        </is>
      </c>
      <c r="C106" t="inlineStr">
        <is>
          <t>Desarrollo de metodologías para la evaluación social de proyectos</t>
        </is>
      </c>
    </row>
    <row r="107">
      <c r="A107" t="inlineStr">
        <is>
          <t>Evaluación social y políticas públicas de inversión</t>
        </is>
      </c>
      <c r="B107" t="inlineStr">
        <is>
          <t>Lorena Herrera Ponce</t>
        </is>
      </c>
      <c r="C107" t="inlineStr">
        <is>
          <t>Valoración de beneficios sociales generados por proyectos de inversión</t>
        </is>
      </c>
    </row>
    <row r="108">
      <c r="A108" t="inlineStr">
        <is>
          <t>Mobiliario, vida cotidiana y materialidad de la obra</t>
        </is>
      </c>
      <c r="B108" t="inlineStr">
        <is>
          <t>Alfred Thiers Jusan</t>
        </is>
      </c>
      <c r="C108" t="inlineStr">
        <is>
          <t>Mobiliario y lugar</t>
        </is>
      </c>
    </row>
    <row r="109">
      <c r="A109" t="inlineStr">
        <is>
          <t>Mobiliario, vida cotidiana y materialidad de la obra</t>
        </is>
      </c>
      <c r="B109" t="inlineStr">
        <is>
          <t>Alfred Thiers Jusan</t>
        </is>
      </c>
      <c r="C109" t="inlineStr">
        <is>
          <t>Actos de la vida urbana y cotidiana</t>
        </is>
      </c>
    </row>
    <row r="110">
      <c r="A110" t="inlineStr">
        <is>
          <t>Mobiliario, vida cotidiana y materialidad de la obra</t>
        </is>
      </c>
      <c r="B110" t="inlineStr">
        <is>
          <t>Alfred Thiers Jusan</t>
        </is>
      </c>
      <c r="C110" t="inlineStr">
        <is>
          <t>Materialidad y obra</t>
        </is>
      </c>
    </row>
    <row r="111">
      <c r="A111" t="inlineStr">
        <is>
          <t>Mobiliario, vida cotidiana y materialidad de la obra</t>
        </is>
      </c>
      <c r="B111" t="inlineStr">
        <is>
          <t>Alfred Thiers Jusan</t>
        </is>
      </c>
      <c r="C111" t="inlineStr">
        <is>
          <t>Sistemas de proyecto desde origen a implementación</t>
        </is>
      </c>
    </row>
    <row r="112">
      <c r="A112" t="inlineStr">
        <is>
          <t>Mobiliario, vida cotidiana y materialidad de la obra</t>
        </is>
      </c>
      <c r="B112" t="inlineStr">
        <is>
          <t>Alfred Thiers Jusan</t>
        </is>
      </c>
      <c r="C112" t="inlineStr">
        <is>
          <t>Habitabilidad</t>
        </is>
      </c>
    </row>
    <row r="113">
      <c r="A113" t="inlineStr">
        <is>
          <t>Fabricación digital, modelado paramétrico y fablabs</t>
        </is>
      </c>
      <c r="B113" t="inlineStr">
        <is>
          <t>Juan Carlos Jeldes Pontio</t>
        </is>
      </c>
      <c r="C113" t="inlineStr">
        <is>
          <t>Fabricación digital</t>
        </is>
      </c>
    </row>
    <row r="114">
      <c r="A114" t="inlineStr">
        <is>
          <t>Fabricación digital, modelado paramétrico y fablabs</t>
        </is>
      </c>
      <c r="B114" t="inlineStr">
        <is>
          <t>Juan Carlos Jeldes Pontio</t>
        </is>
      </c>
      <c r="C114" t="inlineStr">
        <is>
          <t>Fablabs</t>
        </is>
      </c>
    </row>
    <row r="115">
      <c r="A115" t="inlineStr">
        <is>
          <t>Fabricación digital, modelado paramétrico y fablabs</t>
        </is>
      </c>
      <c r="B115" t="inlineStr">
        <is>
          <t>Juan Carlos Jeldes Pontio</t>
        </is>
      </c>
      <c r="C115" t="inlineStr">
        <is>
          <t>Modelado paramétrico</t>
        </is>
      </c>
    </row>
    <row r="116">
      <c r="A116" t="inlineStr">
        <is>
          <t>Fabricación digital, modelado paramétrico y fablabs</t>
        </is>
      </c>
      <c r="B116" t="inlineStr">
        <is>
          <t>Juan Carlos Jeldes Pontio</t>
        </is>
      </c>
      <c r="C116" t="inlineStr">
        <is>
          <t>Modelado paramétrico interpretativo</t>
        </is>
      </c>
    </row>
    <row r="117">
      <c r="A117" t="inlineStr">
        <is>
          <t>Fabricación digital, modelado paramétrico y fablabs</t>
        </is>
      </c>
      <c r="B117" t="inlineStr">
        <is>
          <t>Juan Carlos Jeldes Pontio</t>
        </is>
      </c>
      <c r="C117" t="inlineStr">
        <is>
          <t>Diseño tecnológico aplicado</t>
        </is>
      </c>
    </row>
    <row r="118">
      <c r="A118" t="inlineStr">
        <is>
          <t>Diseño para la democracia y comunicación ciudadana</t>
        </is>
      </c>
      <c r="B118" t="inlineStr">
        <is>
          <t>Herbert Spencer González</t>
        </is>
      </c>
      <c r="C118" t="inlineStr">
        <is>
          <t>Diseño para la democracia</t>
        </is>
      </c>
    </row>
    <row r="119">
      <c r="A119" t="inlineStr">
        <is>
          <t>Diseño para la democracia y comunicación ciudadana</t>
        </is>
      </c>
      <c r="B119" t="inlineStr">
        <is>
          <t>Herbert Spencer González</t>
        </is>
      </c>
      <c r="C119" t="inlineStr">
        <is>
          <t>Plataformas de comunicación ciudadana</t>
        </is>
      </c>
    </row>
    <row r="120">
      <c r="A120" t="inlineStr">
        <is>
          <t>Comunicación visual, diseño editorial y exposición material</t>
        </is>
      </c>
      <c r="B120" t="inlineStr">
        <is>
          <t>Herbert Spencer González</t>
        </is>
      </c>
      <c r="C120" t="inlineStr">
        <is>
          <t>Comunicación visual</t>
        </is>
      </c>
    </row>
    <row r="121">
      <c r="A121" t="inlineStr">
        <is>
          <t>Comunicación visual, diseño editorial y exposición material</t>
        </is>
      </c>
      <c r="B121" t="inlineStr">
        <is>
          <t>Michèle Wilkomirsky Uribe</t>
        </is>
      </c>
      <c r="C121" t="inlineStr">
        <is>
          <t>Diseño de información visual</t>
        </is>
      </c>
    </row>
    <row r="122">
      <c r="A122" t="inlineStr">
        <is>
          <t>Comunicación visual, diseño editorial y exposición material</t>
        </is>
      </c>
      <c r="B122" t="inlineStr">
        <is>
          <t>Sylvia Arriagada Cordero</t>
        </is>
      </c>
      <c r="C122" t="inlineStr">
        <is>
          <t>Diseño gráfico editorial</t>
        </is>
      </c>
    </row>
    <row r="123">
      <c r="A123" t="inlineStr">
        <is>
          <t>Comunicación visual, diseño editorial y exposición material</t>
        </is>
      </c>
      <c r="B123" t="inlineStr">
        <is>
          <t>Sylvia Arriagada Cordero</t>
        </is>
      </c>
      <c r="C123" t="inlineStr">
        <is>
          <t>Montajes expositivos</t>
        </is>
      </c>
    </row>
    <row r="124">
      <c r="A124" t="inlineStr">
        <is>
          <t>Comunicación visual, diseño editorial y exposición material</t>
        </is>
      </c>
      <c r="B124" t="inlineStr">
        <is>
          <t>Sylvia Arriagada Cordero</t>
        </is>
      </c>
      <c r="C124" t="inlineStr">
        <is>
          <t>Contenidos patrimoniales y su exposición material</t>
        </is>
      </c>
    </row>
    <row r="125">
      <c r="A125" t="inlineStr">
        <is>
          <t>Comunicación visual, diseño editorial y exposición material</t>
        </is>
      </c>
      <c r="B125" t="inlineStr">
        <is>
          <t>Marcelo Araya Aravena</t>
        </is>
      </c>
      <c r="C125" t="inlineStr">
        <is>
          <t>Interacción física en espacios expositivos</t>
        </is>
      </c>
    </row>
    <row r="126">
      <c r="A126" t="inlineStr">
        <is>
          <t>Comunicación visual, diseño editorial y exposición material</t>
        </is>
      </c>
      <c r="B126" t="inlineStr">
        <is>
          <t>Marcelo Araya Aravena</t>
        </is>
      </c>
      <c r="C126" t="inlineStr">
        <is>
          <t>Visualización territorial</t>
        </is>
      </c>
    </row>
    <row r="127">
      <c r="A127" t="inlineStr">
        <is>
          <t>Diseño social, territorial y patrimonio cultural</t>
        </is>
      </c>
      <c r="B127" t="inlineStr">
        <is>
          <t>Daniela Salgado Cofré</t>
        </is>
      </c>
      <c r="C127" t="inlineStr">
        <is>
          <t>Diseño social y territorial</t>
        </is>
      </c>
    </row>
    <row r="128">
      <c r="A128" t="inlineStr">
        <is>
          <t>Diseño social, territorial y patrimonio cultural</t>
        </is>
      </c>
      <c r="B128" t="inlineStr">
        <is>
          <t>Daniela Salgado Cofré</t>
        </is>
      </c>
      <c r="C128" t="inlineStr">
        <is>
          <t>Objetos, contexto social y cultural</t>
        </is>
      </c>
    </row>
    <row r="129">
      <c r="A129" t="inlineStr">
        <is>
          <t>Diseño social, territorial y patrimonio cultural</t>
        </is>
      </c>
      <c r="B129" t="inlineStr">
        <is>
          <t>Daniela Salgado Cofré</t>
        </is>
      </c>
      <c r="C129" t="inlineStr">
        <is>
          <t>Patrimonio cultural material e inmaterial</t>
        </is>
      </c>
    </row>
    <row r="130">
      <c r="A130" t="inlineStr">
        <is>
          <t>Confort, bienestar y habitabilidad personal</t>
        </is>
      </c>
      <c r="B130" t="inlineStr">
        <is>
          <t>Katherine Exss Cid</t>
        </is>
      </c>
      <c r="C130" t="inlineStr">
        <is>
          <t>Confort térmico y bienestar</t>
        </is>
      </c>
    </row>
    <row r="131">
      <c r="A131" t="inlineStr">
        <is>
          <t>Máquinas expresivas, algoritmos y arte tecnológico</t>
        </is>
      </c>
      <c r="B131" t="inlineStr">
        <is>
          <t>Arturo Chicano Jiménez</t>
        </is>
      </c>
      <c r="C131" t="inlineStr">
        <is>
          <t>Máquinas expresivas</t>
        </is>
      </c>
    </row>
    <row r="132">
      <c r="A132" t="inlineStr">
        <is>
          <t>Máquinas expresivas, algoritmos y arte tecnológico</t>
        </is>
      </c>
      <c r="B132" t="inlineStr">
        <is>
          <t>Arturo Chicano Jiménez</t>
        </is>
      </c>
      <c r="C132" t="inlineStr">
        <is>
          <t>Algoritmos cinéticos</t>
        </is>
      </c>
    </row>
    <row r="133">
      <c r="A133" t="inlineStr">
        <is>
          <t>Máquinas expresivas, algoritmos y arte tecnológico</t>
        </is>
      </c>
      <c r="B133" t="inlineStr">
        <is>
          <t>Marcelo Araya Aravena</t>
        </is>
      </c>
      <c r="C133" t="inlineStr">
        <is>
          <t>Estructuras cinéticas y mecánico-expresivas</t>
        </is>
      </c>
    </row>
    <row r="134">
      <c r="A134" t="inlineStr">
        <is>
          <t>Máquinas expresivas, algoritmos y arte tecnológico</t>
        </is>
      </c>
      <c r="B134" t="inlineStr">
        <is>
          <t>Marcelo Araya Aravena</t>
        </is>
      </c>
      <c r="C134" t="inlineStr">
        <is>
          <t>Formas resistentes del diseño</t>
        </is>
      </c>
    </row>
    <row r="135">
      <c r="A135" t="inlineStr">
        <is>
          <t>Máquinas expresivas, algoritmos y arte tecnológico</t>
        </is>
      </c>
      <c r="B135" t="inlineStr">
        <is>
          <t>Marcelo Araya Aravena</t>
        </is>
      </c>
      <c r="C135" t="inlineStr">
        <is>
          <t>Taller topológico multiescalar</t>
        </is>
      </c>
    </row>
    <row r="136">
      <c r="A136" t="inlineStr">
        <is>
          <t>Tecnología, sociedad y techné</t>
        </is>
      </c>
      <c r="B136" t="inlineStr">
        <is>
          <t>Juan Carlos Jeldes Pontio</t>
        </is>
      </c>
      <c r="C136" t="inlineStr">
        <is>
          <t>Tecnología y sociedad</t>
        </is>
      </c>
    </row>
    <row r="137">
      <c r="A137" t="inlineStr">
        <is>
          <t>Tecnología, sociedad y techné</t>
        </is>
      </c>
      <c r="B137" t="inlineStr">
        <is>
          <t>Arturo Chicano Jiménez</t>
        </is>
      </c>
      <c r="C137" t="inlineStr">
        <is>
          <t>Techné y mundo</t>
        </is>
      </c>
    </row>
    <row r="138">
      <c r="A138" t="inlineStr">
        <is>
          <t>Tecnología, sociedad y techné</t>
        </is>
      </c>
      <c r="B138" t="inlineStr">
        <is>
          <t>Arturo Chicano Jiménez</t>
        </is>
      </c>
      <c r="C138" t="inlineStr">
        <is>
          <t>Epistemología del diseño</t>
        </is>
      </c>
    </row>
    <row r="139">
      <c r="A139" t="inlineStr">
        <is>
          <t>Tecnología, sociedad y techné</t>
        </is>
      </c>
      <c r="B139" t="inlineStr">
        <is>
          <t>Arturo Chicano Jiménez</t>
        </is>
      </c>
      <c r="C139" t="inlineStr">
        <is>
          <t>Observación como transmisión de ethos</t>
        </is>
      </c>
    </row>
    <row r="140">
      <c r="A140" t="inlineStr">
        <is>
          <t>Tecnología, sociedad y techné</t>
        </is>
      </c>
      <c r="B140" t="inlineStr">
        <is>
          <t>Arturo Chicano Jiménez</t>
        </is>
      </c>
      <c r="C140" t="inlineStr">
        <is>
          <t>Habitabilidad y biodiversidad</t>
        </is>
      </c>
    </row>
    <row r="141">
      <c r="A141" t="inlineStr">
        <is>
          <t>Tecnología, sociedad y techné</t>
        </is>
      </c>
      <c r="B141" t="inlineStr">
        <is>
          <t>Iván Ivelic Yanes</t>
        </is>
      </c>
      <c r="C141" t="inlineStr">
        <is>
          <t>Proyecto y obra como generación de conocimiento</t>
        </is>
      </c>
    </row>
    <row r="142">
      <c r="A142" t="inlineStr">
        <is>
          <t>Arte y arquitectura</t>
        </is>
      </c>
      <c r="B142" t="inlineStr">
        <is>
          <t>Óscar Andrade Castro</t>
        </is>
      </c>
      <c r="C142" t="inlineStr">
        <is>
          <t>Arte y arquitectura</t>
        </is>
      </c>
    </row>
    <row r="143">
      <c r="A143" t="inlineStr">
        <is>
          <t>Arquitectura moderna y habitar latinoamericano</t>
        </is>
      </c>
      <c r="B143" t="inlineStr">
        <is>
          <t>Anna Braghini</t>
        </is>
      </c>
      <c r="C143" t="inlineStr">
        <is>
          <t>Historia y crítica de la arquitectura moderna</t>
        </is>
      </c>
    </row>
    <row r="144">
      <c r="A144" t="inlineStr">
        <is>
          <t>Arquitectura moderna y habitar latinoamericano</t>
        </is>
      </c>
      <c r="B144" t="inlineStr">
        <is>
          <t>Anna Braghini</t>
        </is>
      </c>
      <c r="C144" t="inlineStr">
        <is>
          <t>Arquitectura moderna latinoamericana</t>
        </is>
      </c>
    </row>
    <row r="145">
      <c r="A145" t="inlineStr">
        <is>
          <t>Arquitectura moderna y habitar latinoamericano</t>
        </is>
      </c>
      <c r="B145" t="inlineStr">
        <is>
          <t>Anna Braghini</t>
        </is>
      </c>
      <c r="C145" t="inlineStr">
        <is>
          <t>Habitar moderno</t>
        </is>
      </c>
    </row>
    <row r="146">
      <c r="A146" t="inlineStr">
        <is>
          <t>Arquitectura moderna y habitar latinoamericano</t>
        </is>
      </c>
      <c r="B146" t="inlineStr">
        <is>
          <t>Anna Braghini</t>
        </is>
      </c>
      <c r="C146" t="inlineStr">
        <is>
          <t>Arquitectura del Cono Sur</t>
        </is>
      </c>
    </row>
    <row r="147">
      <c r="A147" t="inlineStr">
        <is>
          <t>Poesía y oficio</t>
        </is>
      </c>
      <c r="B147" t="inlineStr">
        <is>
          <t>Jaime Reyes Gil</t>
        </is>
      </c>
      <c r="C147" t="inlineStr">
        <is>
          <t>Relación poesía-oficio</t>
        </is>
      </c>
    </row>
    <row r="148">
      <c r="A148" t="inlineStr">
        <is>
          <t>Poesía y oficio</t>
        </is>
      </c>
      <c r="B148" t="inlineStr">
        <is>
          <t>Jaime Reyes Gil</t>
        </is>
      </c>
      <c r="C148" t="inlineStr">
        <is>
          <t>Seminario de América</t>
        </is>
      </c>
    </row>
    <row r="149">
      <c r="A149" t="inlineStr">
        <is>
          <t>Poesía y oficio</t>
        </is>
      </c>
      <c r="B149" t="inlineStr">
        <is>
          <t>Sylvia Arriagada Cordero</t>
        </is>
      </c>
      <c r="C149" t="inlineStr">
        <is>
          <t>Poética del oficio</t>
        </is>
      </c>
    </row>
    <row r="150">
      <c r="A150" t="inlineStr">
        <is>
          <t>Poesía y oficio</t>
        </is>
      </c>
      <c r="B150" t="inlineStr">
        <is>
          <t>Sylvia Arriagada Cordero</t>
        </is>
      </c>
      <c r="C150" t="inlineStr">
        <is>
          <t>Actos poéticos</t>
        </is>
      </c>
    </row>
    <row r="151">
      <c r="A151" t="inlineStr">
        <is>
          <t>Fundamentos poéticos y artísticos del diseño</t>
        </is>
      </c>
      <c r="B151" t="inlineStr">
        <is>
          <t>Sylvia Arriagada Cordero</t>
        </is>
      </c>
      <c r="C151" t="inlineStr">
        <is>
          <t>Fundamentos poéticos y artísticos del diseño</t>
        </is>
      </c>
    </row>
    <row r="152">
      <c r="A152" t="inlineStr">
        <is>
          <t>Fundamentos poéticos y artísticos del diseño</t>
        </is>
      </c>
      <c r="B152" t="inlineStr">
        <is>
          <t>Sylvia Arriagada Cordero</t>
        </is>
      </c>
      <c r="C152" t="inlineStr">
        <is>
          <t>Heredad creativa del diseño en Travesías</t>
        </is>
      </c>
    </row>
    <row r="153">
      <c r="A153" t="inlineStr">
        <is>
          <t>Reforma escolar y enseñanza de la arquitectura</t>
        </is>
      </c>
      <c r="B153" t="inlineStr">
        <is>
          <t>Ursula Exss Cid</t>
        </is>
      </c>
      <c r="C153" t="inlineStr">
        <is>
          <t>Reforma escolar de 1965 en Chile</t>
        </is>
      </c>
    </row>
    <row r="154">
      <c r="A154" t="inlineStr">
        <is>
          <t>Reforma escolar y enseñanza de la arquitectura</t>
        </is>
      </c>
      <c r="B154" t="inlineStr">
        <is>
          <t>Ursula Exss Cid</t>
        </is>
      </c>
      <c r="C154" t="inlineStr">
        <is>
          <t>Relación entre arquitectura y aprendizaje</t>
        </is>
      </c>
    </row>
    <row r="155">
      <c r="A155" t="inlineStr">
        <is>
          <t>Reforma escolar y enseñanza de la arquitectura</t>
        </is>
      </c>
      <c r="B155" t="inlineStr">
        <is>
          <t>Óscar Andrade Castro</t>
        </is>
      </c>
      <c r="C155" t="inlineStr">
        <is>
          <t>Educación en arquitectura</t>
        </is>
      </c>
    </row>
    <row r="156">
      <c r="A156" t="inlineStr">
        <is>
          <t>Reforma escolar y enseñanza de la arquitectura</t>
        </is>
      </c>
      <c r="B156" t="inlineStr">
        <is>
          <t>Jaime Reyes Gil</t>
        </is>
      </c>
      <c r="C156" t="inlineStr">
        <is>
          <t>Investigación en posgrado dentro de Educación, Espacio y Aprendizaje</t>
        </is>
      </c>
    </row>
    <row r="157">
      <c r="A157" t="inlineStr">
        <is>
          <t>Sistemas inteligentes e IA en diseño</t>
        </is>
      </c>
      <c r="B157" t="inlineStr">
        <is>
          <t>Herbert Spencer González</t>
        </is>
      </c>
      <c r="C157" t="inlineStr">
        <is>
          <t>Diseño de sistemas inteligentes</t>
        </is>
      </c>
    </row>
    <row r="158">
      <c r="A158" t="inlineStr">
        <is>
          <t>Sistemas inteligentes e IA en diseño</t>
        </is>
      </c>
      <c r="B158" t="inlineStr">
        <is>
          <t>Herbert Spencer González</t>
        </is>
      </c>
      <c r="C158" t="inlineStr">
        <is>
          <t>IA como material de diseño</t>
        </is>
      </c>
    </row>
    <row r="159">
      <c r="A159" t="inlineStr">
        <is>
          <t>Poesía y oficio</t>
        </is>
      </c>
      <c r="B159" t="inlineStr">
        <is>
          <t>Manuel Sanfuentes</t>
        </is>
      </c>
      <c r="C159" t="inlineStr">
        <is>
          <t>Obra poética de Godofredo Iommi</t>
        </is>
      </c>
    </row>
    <row r="160">
      <c r="A160" t="inlineStr">
        <is>
          <t>Travesías y geopoética</t>
        </is>
      </c>
      <c r="B160" t="inlineStr">
        <is>
          <t>Manuel Sanfuentes</t>
        </is>
      </c>
      <c r="C160" t="inlineStr">
        <is>
          <t>Traducción de Amereida</t>
        </is>
      </c>
    </row>
    <row r="161">
      <c r="A161" t="inlineStr">
        <is>
          <t>Travesías y geopoética</t>
        </is>
      </c>
      <c r="B161" t="inlineStr">
        <is>
          <t>Isabel M. Reyes</t>
        </is>
      </c>
      <c r="C161" t="inlineStr">
        <is>
          <t>Traducción de Amereida</t>
        </is>
      </c>
    </row>
    <row r="162">
      <c r="A162" t="inlineStr">
        <is>
          <t>Comunicación visual, diseño editorial y exposición material</t>
        </is>
      </c>
      <c r="B162" t="inlineStr">
        <is>
          <t>Alejandro Garretón</t>
        </is>
      </c>
      <c r="C162" t="inlineStr">
        <is>
          <t>Tipografía y grabado en la formación del diseño gráfico</t>
        </is>
      </c>
    </row>
    <row r="163">
      <c r="A163" t="inlineStr">
        <is>
          <t>Fundamentos poéticos y artísticos del diseño</t>
        </is>
      </c>
      <c r="B163" t="inlineStr">
        <is>
          <t>Alejandro Garretón</t>
        </is>
      </c>
      <c r="C163" t="inlineStr">
        <is>
          <t>Referencias artísticas del campo del diseño</t>
        </is>
      </c>
    </row>
    <row r="164">
      <c r="A164" t="inlineStr">
        <is>
          <t>Máquinas expresivas, algoritmos y arte tecnológico</t>
        </is>
      </c>
      <c r="B164" t="inlineStr">
        <is>
          <t>Leonardo Aravena</t>
        </is>
      </c>
      <c r="C164" t="inlineStr">
        <is>
          <t>Dispositivos de interacción física</t>
        </is>
      </c>
    </row>
    <row r="165">
      <c r="A165" t="inlineStr">
        <is>
          <t>Medios de aprendizaje en arquitectura y diseño</t>
        </is>
      </c>
      <c r="B165" t="inlineStr">
        <is>
          <t>Leonardo Aravena</t>
        </is>
      </c>
      <c r="C165" t="inlineStr">
        <is>
          <t>Aprendizaje con tecnologías de interacción</t>
        </is>
      </c>
    </row>
    <row r="166">
      <c r="A166" t="inlineStr">
        <is>
          <t>Saberes técnicos análogos</t>
        </is>
      </c>
      <c r="B166" t="inlineStr">
        <is>
          <t>Erick Caro</t>
        </is>
      </c>
      <c r="C166" t="inlineStr">
        <is>
          <t>Prefabricación monomaterial para vivienda económica</t>
        </is>
      </c>
    </row>
  </sheetData>
  <mergeCells count="2">
    <mergeCell ref="A1:C1"/>
    <mergeCell ref="A2:C2"/>
  </mergeCells>
  <dataValidations count="2">
    <dataValidation sqref="A5:A505" showDropDown="0" showInputMessage="0" showErrorMessage="1" allowBlank="1" errorTitle="Nombre no válido" error="El valor debe coincidir con un nombre existente en la hoja correspondiente. Usa el menú desplegable para elegir uno." type="list">
      <formula1>SublineaNombres</formula1>
    </dataValidation>
    <dataValidation sqref="B5:B505" showDropDown="0" showInputMessage="0" showErrorMessage="1" allowBlank="1" errorTitle="Nombre no válido" error="El valor debe coincidir con un nombre existente en la hoja correspondiente. Usa el menú desplegable para elegir uno." type="list">
      <formula1>InvestigadorNombres</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0"/>
  <sheetViews>
    <sheetView workbookViewId="0">
      <pane ySplit="4" topLeftCell="A5" activePane="bottomLeft" state="frozen"/>
      <selection pane="bottomLeft" activeCell="A1" sqref="A1"/>
    </sheetView>
  </sheetViews>
  <sheetFormatPr baseColWidth="10" defaultColWidth="8.83203125" defaultRowHeight="15"/>
  <cols>
    <col width="14" customWidth="1" style="24" min="1" max="2"/>
  </cols>
  <sheetData>
    <row r="1" ht="18" customHeight="1" s="24">
      <c r="A1" s="25" t="inlineStr">
        <is>
          <t>10 · Laboratorio ↔ Línea (m:n)</t>
        </is>
      </c>
    </row>
    <row r="2">
      <c r="A2" s="23" t="inlineStr">
        <is>
          <t>Un Lab sostiene una o varias Líneas. BORRADOR.</t>
        </is>
      </c>
    </row>
    <row r="4">
      <c r="A4" s="7" t="inlineStr">
        <is>
          <t>laboratorio</t>
        </is>
      </c>
      <c r="B4" s="7" t="inlineStr">
        <is>
          <t>línea</t>
        </is>
      </c>
    </row>
    <row r="5" ht="60" customHeight="1" s="24">
      <c r="A5" s="8" t="inlineStr">
        <is>
          <t>Núcleo de Accesibilidad e Inclusión</t>
        </is>
      </c>
      <c r="B5" s="8" t="inlineStr">
        <is>
          <t>Fundamentos disciplinares</t>
        </is>
      </c>
    </row>
    <row r="6" ht="60" customHeight="1" s="24">
      <c r="A6" s="8" t="inlineStr">
        <is>
          <t>Aconcagua Fablab</t>
        </is>
      </c>
      <c r="B6" s="8" t="inlineStr">
        <is>
          <t>Fundamentos disciplinares</t>
        </is>
      </c>
    </row>
    <row r="7" ht="60" customHeight="1" s="24">
      <c r="A7" s="8" t="inlineStr">
        <is>
          <t>Patrimonio moderno</t>
        </is>
      </c>
      <c r="B7" s="8" t="inlineStr">
        <is>
          <t>Fundamentos disciplinares</t>
        </is>
      </c>
    </row>
    <row r="8" ht="60" customHeight="1" s="24">
      <c r="A8" s="8" t="inlineStr">
        <is>
          <t>Personas y territorios</t>
        </is>
      </c>
      <c r="B8" s="8" t="inlineStr">
        <is>
          <t>Prácticas proyectuales</t>
        </is>
      </c>
    </row>
    <row r="9" ht="60" customHeight="1" s="24">
      <c r="A9" s="8" t="inlineStr">
        <is>
          <t>Urbanismo afectivo</t>
        </is>
      </c>
      <c r="B9" s="8" t="inlineStr">
        <is>
          <t>Prácticas proyectuales</t>
        </is>
      </c>
    </row>
    <row r="10" ht="60" customHeight="1" s="24">
      <c r="A10" s="8" t="n"/>
      <c r="B10" s="8" t="n"/>
    </row>
  </sheetData>
  <mergeCells count="2">
    <mergeCell ref="A2:B2"/>
    <mergeCell ref="A1:B1"/>
  </mergeCells>
  <dataValidations count="2">
    <dataValidation sqref="A5:A505" showDropDown="0" showInputMessage="0" showErrorMessage="1" allowBlank="1" errorTitle="Nombre no válido" error="El valor debe coincidir con un nombre existente en la hoja correspondiente. Usa el menú desplegable para elegir uno." type="list">
      <formula1>LabNombres</formula1>
    </dataValidation>
    <dataValidation sqref="B5:B505" showDropDown="0" showInputMessage="0" showErrorMessage="1" allowBlank="1" errorTitle="Nombre no válido" error="El valor debe coincidir con un nombre existente en la hoja correspondiente. Usa el menú desplegable para elegir uno." type="list">
      <formula1>LineaNombres</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3"/>
  <sheetViews>
    <sheetView workbookViewId="0">
      <pane ySplit="4" topLeftCell="A5" activePane="bottomLeft" state="frozen"/>
      <selection pane="bottomLeft" activeCell="P19" sqref="P19"/>
    </sheetView>
  </sheetViews>
  <sheetFormatPr baseColWidth="10" defaultColWidth="8.83203125" defaultRowHeight="15"/>
  <cols>
    <col width="24" customWidth="1" style="24" min="1" max="1"/>
    <col width="27" customWidth="1" style="24" min="2" max="2"/>
  </cols>
  <sheetData>
    <row r="1" ht="18" customHeight="1" s="24">
      <c r="A1" s="25" t="inlineStr">
        <is>
          <t>11 · Laboratorio ↔ Salida (m:n)</t>
        </is>
      </c>
    </row>
    <row r="2">
      <c r="A2" s="23" t="inlineStr">
        <is>
          <t>Los Labs operacionalizan las Salidas. BORRADOR.</t>
        </is>
      </c>
    </row>
    <row r="4">
      <c r="A4" s="7" t="inlineStr">
        <is>
          <t>laboratorio</t>
        </is>
      </c>
      <c r="B4" s="7" t="inlineStr">
        <is>
          <t>salida</t>
        </is>
      </c>
    </row>
    <row r="5" ht="30" customHeight="1" s="24">
      <c r="A5" s="8" t="inlineStr">
        <is>
          <t>Núcleo de Accesibilidad e Inclusión</t>
        </is>
      </c>
      <c r="B5" s="8" t="inlineStr">
        <is>
          <t>Industria</t>
        </is>
      </c>
    </row>
    <row r="6" ht="45" customHeight="1" s="24">
      <c r="A6" s="8" t="inlineStr">
        <is>
          <t>Núcleo de Accesibilidad e Inclusión</t>
        </is>
      </c>
      <c r="B6" s="8" t="inlineStr">
        <is>
          <t>Academia</t>
        </is>
      </c>
    </row>
    <row r="7" ht="30" customHeight="1" s="24">
      <c r="A7" s="8" t="inlineStr">
        <is>
          <t>Aconcagua Fablab</t>
        </is>
      </c>
      <c r="B7" s="8" t="inlineStr">
        <is>
          <t>Industria</t>
        </is>
      </c>
    </row>
    <row r="8" ht="30" customHeight="1" s="24">
      <c r="A8" s="8" t="inlineStr">
        <is>
          <t>Aconcagua Fablab</t>
        </is>
      </c>
      <c r="B8" s="8" t="inlineStr">
        <is>
          <t>Academia</t>
        </is>
      </c>
    </row>
    <row r="9">
      <c r="A9" s="8" t="inlineStr">
        <is>
          <t>Personas y territorios</t>
        </is>
      </c>
      <c r="B9" s="8" t="inlineStr">
        <is>
          <t>Estado</t>
        </is>
      </c>
    </row>
    <row r="10" ht="30" customHeight="1" s="24">
      <c r="A10" s="8" t="inlineStr">
        <is>
          <t>Personas y territorios</t>
        </is>
      </c>
      <c r="B10" s="8" t="inlineStr">
        <is>
          <t>Academia</t>
        </is>
      </c>
    </row>
    <row r="11" ht="30" customHeight="1" s="24">
      <c r="A11" s="8" t="inlineStr">
        <is>
          <t>Patrimonio moderno</t>
        </is>
      </c>
      <c r="B11" s="8" t="inlineStr">
        <is>
          <t>Academia</t>
        </is>
      </c>
    </row>
    <row r="12" ht="30" customHeight="1" s="24">
      <c r="A12" s="8" t="inlineStr">
        <is>
          <t>Urbanismo afectivo</t>
        </is>
      </c>
      <c r="B12" s="8" t="inlineStr">
        <is>
          <t>Estado</t>
        </is>
      </c>
    </row>
    <row r="13" ht="30" customHeight="1" s="24">
      <c r="A13" s="8" t="inlineStr">
        <is>
          <t>Urbanismo afectivo</t>
        </is>
      </c>
      <c r="B13" s="8" t="inlineStr">
        <is>
          <t>Academia</t>
        </is>
      </c>
    </row>
  </sheetData>
  <mergeCells count="2">
    <mergeCell ref="A2:B2"/>
    <mergeCell ref="A1:B1"/>
  </mergeCells>
  <dataValidations count="2">
    <dataValidation sqref="A5:A505" showDropDown="0" showInputMessage="0" showErrorMessage="1" allowBlank="1" errorTitle="Nombre no válido" error="El valor debe coincidir con un nombre existente en la hoja correspondiente. Usa el menú desplegable para elegir uno." type="list">
      <formula1>LabNombres</formula1>
    </dataValidation>
    <dataValidation sqref="B5:B505" showDropDown="0" showInputMessage="0" showErrorMessage="1" allowBlank="1" errorTitle="Nombre no válido" error="El valor debe coincidir con un nombre existente en la hoja correspondiente. Usa el menú desplegable para elegir uno." type="list">
      <formula1>SalidaNombres</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34"/>
  <sheetViews>
    <sheetView workbookViewId="0">
      <pane ySplit="4" topLeftCell="A5" activePane="bottomLeft" state="frozen"/>
      <selection pane="bottomLeft" activeCell="B16" sqref="B16"/>
    </sheetView>
  </sheetViews>
  <sheetFormatPr baseColWidth="10" defaultColWidth="8.83203125" defaultRowHeight="15"/>
  <cols>
    <col width="35.6640625" customWidth="1" style="24" min="1" max="1"/>
    <col width="44.6640625" customWidth="1" style="24" min="2" max="2"/>
  </cols>
  <sheetData>
    <row r="1" ht="18" customHeight="1" s="24">
      <c r="A1" s="25" t="inlineStr">
        <is>
          <t>12 · Investigador ↔ Laboratorio (m:n)</t>
        </is>
      </c>
    </row>
    <row r="2">
      <c r="A2" s="23" t="inlineStr">
        <is>
          <t>Lectura desde el material. BORRADOR — algunos investigadores podrían estar en más laboratorios de los registrados aquí.</t>
        </is>
      </c>
    </row>
    <row r="4">
      <c r="A4" s="7" t="inlineStr">
        <is>
          <t>investigador</t>
        </is>
      </c>
      <c r="B4" s="7" t="inlineStr">
        <is>
          <t>laboratorio</t>
        </is>
      </c>
    </row>
    <row r="5" ht="19" customHeight="1" s="24">
      <c r="A5" s="8" t="inlineStr">
        <is>
          <t>Ursula Exss Cid</t>
        </is>
      </c>
      <c r="B5" s="8" t="inlineStr">
        <is>
          <t>Patrimonio moderno</t>
        </is>
      </c>
    </row>
    <row r="6" ht="19" customHeight="1" s="24">
      <c r="A6" s="8" t="inlineStr">
        <is>
          <t>Katherine Exss Cid</t>
        </is>
      </c>
      <c r="B6" s="8" t="inlineStr">
        <is>
          <t>Núcleo de Accesibilidad e Inclusión</t>
        </is>
      </c>
    </row>
    <row r="7" ht="19" customHeight="1" s="24">
      <c r="A7" s="8" t="inlineStr">
        <is>
          <t>Katherine Exss Cid</t>
        </is>
      </c>
      <c r="B7" s="8" t="inlineStr">
        <is>
          <t>Aconcagua Fablab</t>
        </is>
      </c>
    </row>
    <row r="8" ht="19" customHeight="1" s="24">
      <c r="A8" s="8" t="inlineStr">
        <is>
          <t>Jorge Ferrada Herrera</t>
        </is>
      </c>
      <c r="B8" s="8" t="inlineStr">
        <is>
          <t>Personas y territorios</t>
        </is>
      </c>
    </row>
    <row r="9" ht="19" customHeight="1" s="24">
      <c r="A9" s="8" t="inlineStr">
        <is>
          <t>Jorge Ferrada Herrera</t>
        </is>
      </c>
      <c r="B9" s="8" t="inlineStr">
        <is>
          <t>Patrimonio moderno</t>
        </is>
      </c>
    </row>
    <row r="10" ht="19" customHeight="1" s="24">
      <c r="A10" s="8" t="inlineStr">
        <is>
          <t>Andrés Garcés Alzamora</t>
        </is>
      </c>
      <c r="B10" s="8" t="inlineStr">
        <is>
          <t>Urbanismo afectivo</t>
        </is>
      </c>
    </row>
    <row r="11" ht="19" customHeight="1" s="24">
      <c r="A11" s="8" t="inlineStr">
        <is>
          <t>Andrés Garcés Alzamora</t>
        </is>
      </c>
      <c r="B11" s="8" t="inlineStr">
        <is>
          <t>Personas y territorios</t>
        </is>
      </c>
    </row>
    <row r="12" ht="19" customHeight="1" s="24">
      <c r="A12" s="8" t="inlineStr">
        <is>
          <t>Iván Ivelic Yanes</t>
        </is>
      </c>
      <c r="B12" s="8" t="inlineStr">
        <is>
          <t>Personas y territorios</t>
        </is>
      </c>
    </row>
    <row r="13" ht="19" customHeight="1" s="24">
      <c r="A13" s="8" t="inlineStr">
        <is>
          <t>David Luza Cornejo</t>
        </is>
      </c>
      <c r="B13" s="8" t="inlineStr">
        <is>
          <t>Personas y territorios</t>
        </is>
      </c>
    </row>
    <row r="14" ht="19" customHeight="1" s="24">
      <c r="A14" s="8" t="inlineStr">
        <is>
          <t>David Luza Cornejo</t>
        </is>
      </c>
      <c r="B14" s="8" t="inlineStr">
        <is>
          <t>Urbanismo afectivo</t>
        </is>
      </c>
    </row>
    <row r="15" ht="19" customHeight="1" s="24">
      <c r="A15" s="8" t="inlineStr">
        <is>
          <t>Adriana Marín Toro</t>
        </is>
      </c>
      <c r="B15" s="8" t="inlineStr">
        <is>
          <t>Personas y territorios</t>
        </is>
      </c>
    </row>
    <row r="16" ht="19" customHeight="1" s="24">
      <c r="A16" s="8" t="inlineStr">
        <is>
          <t>Álvaro Mercado Jara</t>
        </is>
      </c>
      <c r="B16" s="8" t="inlineStr">
        <is>
          <t>Urbanismo afectivo</t>
        </is>
      </c>
    </row>
    <row r="17" ht="19" customHeight="1" s="24">
      <c r="A17" s="8" t="inlineStr">
        <is>
          <t>Álvaro Mercado Jara</t>
        </is>
      </c>
      <c r="B17" s="8" t="inlineStr">
        <is>
          <t>Personas y territorios</t>
        </is>
      </c>
    </row>
    <row r="18" ht="19" customHeight="1" s="24">
      <c r="A18" s="8" t="inlineStr">
        <is>
          <t>Jaime Reyes Gil</t>
        </is>
      </c>
      <c r="B18" s="8" t="inlineStr">
        <is>
          <t>Patrimonio moderno</t>
        </is>
      </c>
    </row>
    <row r="19" ht="19" customHeight="1" s="24">
      <c r="A19" s="8" t="inlineStr">
        <is>
          <t>Rodrigo Saavedra Venegas</t>
        </is>
      </c>
      <c r="B19" s="8" t="inlineStr">
        <is>
          <t>Núcleo de Accesibilidad e Inclusión</t>
        </is>
      </c>
    </row>
    <row r="20" ht="19" customHeight="1" s="24">
      <c r="A20" s="8" t="inlineStr">
        <is>
          <t>Daniela Salgado Cofré</t>
        </is>
      </c>
      <c r="B20" s="8" t="inlineStr">
        <is>
          <t>Núcleo de Accesibilidad e Inclusión</t>
        </is>
      </c>
    </row>
    <row r="21" ht="19" customHeight="1" s="24">
      <c r="A21" s="8" t="inlineStr">
        <is>
          <t>Daniela Salgado Cofré</t>
        </is>
      </c>
      <c r="B21" s="8" t="inlineStr">
        <is>
          <t>Personas y territorios</t>
        </is>
      </c>
    </row>
    <row r="22" ht="19" customHeight="1" s="24">
      <c r="A22" s="8" t="inlineStr">
        <is>
          <t>Herbert Spencer González</t>
        </is>
      </c>
      <c r="B22" s="8" t="inlineStr">
        <is>
          <t>Núcleo de Accesibilidad e Inclusión</t>
        </is>
      </c>
    </row>
    <row r="23" ht="19" customHeight="1" s="24">
      <c r="A23" s="8" t="inlineStr">
        <is>
          <t>Herbert Spencer González</t>
        </is>
      </c>
      <c r="B23" s="8" t="inlineStr">
        <is>
          <t>Aconcagua Fablab</t>
        </is>
      </c>
    </row>
    <row r="24" ht="19" customHeight="1" s="24">
      <c r="A24" s="8" t="inlineStr">
        <is>
          <t>Alfred Thiers Jusan</t>
        </is>
      </c>
      <c r="B24" s="8" t="inlineStr">
        <is>
          <t>Urbanismo afectivo</t>
        </is>
      </c>
    </row>
    <row r="25" ht="19" customHeight="1" s="24">
      <c r="A25" s="8" t="inlineStr">
        <is>
          <t>Lorena Herrera Ponce</t>
        </is>
      </c>
      <c r="B25" s="8" t="inlineStr">
        <is>
          <t>Personas y territorios</t>
        </is>
      </c>
    </row>
    <row r="26" ht="19" customHeight="1" s="24">
      <c r="A26" s="8" t="inlineStr">
        <is>
          <t>Juan Carlos Jeldes Pontio</t>
        </is>
      </c>
      <c r="B26" s="8" t="inlineStr">
        <is>
          <t>Aconcagua Fablab</t>
        </is>
      </c>
    </row>
    <row r="27" ht="19" customHeight="1" s="24">
      <c r="A27" s="8" t="inlineStr">
        <is>
          <t>Michèle Wilkomirsky Uribe</t>
        </is>
      </c>
      <c r="B27" s="8" t="inlineStr">
        <is>
          <t>Patrimonio moderno</t>
        </is>
      </c>
    </row>
    <row r="28" ht="19" customHeight="1" s="24">
      <c r="A28" s="8" t="inlineStr">
        <is>
          <t>Óscar Andrade Castro</t>
        </is>
      </c>
      <c r="B28" s="8" t="inlineStr">
        <is>
          <t>Patrimonio moderno</t>
        </is>
      </c>
    </row>
    <row r="29" ht="19" customHeight="1" s="24">
      <c r="A29" s="8" t="inlineStr">
        <is>
          <t>Anna Braghini</t>
        </is>
      </c>
      <c r="B29" s="8" t="inlineStr">
        <is>
          <t>Patrimonio moderno</t>
        </is>
      </c>
    </row>
    <row r="30" ht="19" customHeight="1" s="24">
      <c r="A30" s="8" t="inlineStr">
        <is>
          <t>Arturo Chicano Jiménez</t>
        </is>
      </c>
      <c r="B30" s="8" t="inlineStr">
        <is>
          <t>Aconcagua Fablab</t>
        </is>
      </c>
    </row>
    <row r="31" ht="19" customHeight="1" s="24">
      <c r="A31" s="8" t="inlineStr">
        <is>
          <t>Sylvia Arriagada Cordero</t>
        </is>
      </c>
      <c r="B31" s="8" t="inlineStr">
        <is>
          <t>Patrimonio moderno</t>
        </is>
      </c>
    </row>
    <row r="32" ht="19" customHeight="1" s="24">
      <c r="A32" s="8" t="inlineStr">
        <is>
          <t>Marcelo Araya Aravena</t>
        </is>
      </c>
      <c r="B32" s="8" t="inlineStr">
        <is>
          <t>Aconcagua Fablab</t>
        </is>
      </c>
    </row>
    <row r="33" ht="19" customHeight="1" s="24">
      <c r="A33" s="8" t="inlineStr">
        <is>
          <t>Marcelo Araya Aravena</t>
        </is>
      </c>
      <c r="B33" s="8" t="inlineStr">
        <is>
          <t>Patrimonio moderno</t>
        </is>
      </c>
    </row>
    <row r="34" ht="19" customHeight="1" s="24">
      <c r="A34" s="8" t="inlineStr">
        <is>
          <t>Emanuela Di Felice</t>
        </is>
      </c>
      <c r="B34" s="8" t="inlineStr">
        <is>
          <t>Urbanismo afectivo</t>
        </is>
      </c>
    </row>
  </sheetData>
  <mergeCells count="2">
    <mergeCell ref="A2:B2"/>
    <mergeCell ref="A1:B1"/>
  </mergeCells>
  <dataValidations count="2">
    <dataValidation sqref="A5:A505" showDropDown="0" showInputMessage="0" showErrorMessage="1" allowBlank="1" errorTitle="Nombre no válido" error="El valor debe coincidir con un nombre existente en la hoja correspondiente. Usa el menú desplegable para elegir uno." type="list">
      <formula1>InvestigadorNombres</formula1>
    </dataValidation>
    <dataValidation sqref="B5:B505" showDropDown="0" showInputMessage="0" showErrorMessage="1" allowBlank="1" errorTitle="Nombre no válido" error="El valor debe coincidir con un nombre existente en la hoja correspondiente. Usa el menú desplegable para elegir uno." type="list">
      <formula1>LabNombres</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1"/>
  <sheetViews>
    <sheetView workbookViewId="0">
      <pane ySplit="4" topLeftCell="A5" activePane="bottomLeft" state="frozen"/>
      <selection pane="bottomLeft" activeCell="B34" sqref="B34"/>
    </sheetView>
  </sheetViews>
  <sheetFormatPr baseColWidth="10" defaultColWidth="8.83203125" defaultRowHeight="15"/>
  <cols>
    <col width="44.5" customWidth="1" style="24" min="1" max="2"/>
  </cols>
  <sheetData>
    <row r="1" ht="18" customHeight="1" s="24">
      <c r="A1" s="25" t="inlineStr">
        <is>
          <t>13 · Investigador ↔ Modo (m:n)</t>
        </is>
      </c>
    </row>
    <row r="2">
      <c r="A2" s="23" t="inlineStr">
        <is>
          <t>Lectura desde el material — modos predominantes declarados o inferidos.</t>
        </is>
      </c>
    </row>
    <row r="4">
      <c r="A4" s="7" t="inlineStr">
        <is>
          <t>investigador</t>
        </is>
      </c>
      <c r="B4" s="7" t="inlineStr">
        <is>
          <t>modo</t>
        </is>
      </c>
    </row>
    <row r="5">
      <c r="A5" s="8" t="inlineStr">
        <is>
          <t>Ursula Exss Cid</t>
        </is>
      </c>
      <c r="B5" s="8" t="inlineStr">
        <is>
          <t>Teoría crítica</t>
        </is>
      </c>
    </row>
    <row r="6">
      <c r="A6" s="8" t="inlineStr">
        <is>
          <t>Ursula Exss Cid</t>
        </is>
      </c>
      <c r="B6" s="8" t="inlineStr">
        <is>
          <t>Historiografía</t>
        </is>
      </c>
    </row>
    <row r="7" ht="30" customHeight="1" s="24">
      <c r="A7" s="8" t="inlineStr">
        <is>
          <t>Katherine Exss Cid</t>
        </is>
      </c>
      <c r="B7" s="8" t="inlineStr">
        <is>
          <t>Investigación proyectual</t>
        </is>
      </c>
    </row>
    <row r="8">
      <c r="A8" s="8" t="inlineStr">
        <is>
          <t>Katherine Exss Cid</t>
        </is>
      </c>
      <c r="B8" s="8" t="inlineStr">
        <is>
          <t>Teoría crítica</t>
        </is>
      </c>
    </row>
    <row r="9" ht="30" customHeight="1" s="24">
      <c r="A9" s="8" t="inlineStr">
        <is>
          <t>Jorge Ferrada Herrera</t>
        </is>
      </c>
      <c r="B9" s="8" t="inlineStr">
        <is>
          <t>Historiografía</t>
        </is>
      </c>
    </row>
    <row r="10" ht="30" customHeight="1" s="24">
      <c r="A10" s="8" t="inlineStr">
        <is>
          <t>Jorge Ferrada Herrera</t>
        </is>
      </c>
      <c r="B10" s="8" t="inlineStr">
        <is>
          <t>Teoría crítica</t>
        </is>
      </c>
    </row>
    <row r="11" ht="30" customHeight="1" s="24">
      <c r="A11" s="8" t="inlineStr">
        <is>
          <t>Andrés Garcés Alzamora</t>
        </is>
      </c>
      <c r="B11" s="8" t="inlineStr">
        <is>
          <t>Teoría crítica</t>
        </is>
      </c>
    </row>
    <row r="12" ht="30" customHeight="1" s="24">
      <c r="A12" s="8" t="inlineStr">
        <is>
          <t>Andrés Garcés Alzamora</t>
        </is>
      </c>
      <c r="B12" s="8" t="inlineStr">
        <is>
          <t>Investigación proyectual</t>
        </is>
      </c>
    </row>
    <row r="13" ht="30" customHeight="1" s="24">
      <c r="A13" s="8" t="inlineStr">
        <is>
          <t>Iván Ivelic Yanes</t>
        </is>
      </c>
      <c r="B13" s="8" t="inlineStr">
        <is>
          <t>Investigación proyectual</t>
        </is>
      </c>
    </row>
    <row r="14">
      <c r="A14" s="8" t="inlineStr">
        <is>
          <t>Iván Ivelic Yanes</t>
        </is>
      </c>
      <c r="B14" s="8" t="inlineStr">
        <is>
          <t>Teoría crítica</t>
        </is>
      </c>
    </row>
    <row r="15" ht="30" customHeight="1" s="24">
      <c r="A15" s="8" t="inlineStr">
        <is>
          <t>David Luza Cornejo</t>
        </is>
      </c>
      <c r="B15" s="8" t="inlineStr">
        <is>
          <t>Investigación proyectual</t>
        </is>
      </c>
    </row>
    <row r="16">
      <c r="A16" s="8" t="inlineStr">
        <is>
          <t>Adriana Marín Toro</t>
        </is>
      </c>
      <c r="B16" s="8" t="inlineStr">
        <is>
          <t>Teoría crítica</t>
        </is>
      </c>
    </row>
    <row r="17" ht="30" customHeight="1" s="24">
      <c r="A17" s="8" t="inlineStr">
        <is>
          <t>Álvaro Mercado Jara</t>
        </is>
      </c>
      <c r="B17" s="8" t="inlineStr">
        <is>
          <t>Teoría crítica</t>
        </is>
      </c>
    </row>
    <row r="18">
      <c r="A18" s="8" t="inlineStr">
        <is>
          <t>Jaime Reyes Gil</t>
        </is>
      </c>
      <c r="B18" s="8" t="inlineStr">
        <is>
          <t>Historiografía</t>
        </is>
      </c>
    </row>
    <row r="19">
      <c r="A19" s="8" t="inlineStr">
        <is>
          <t>Jaime Reyes Gil</t>
        </is>
      </c>
      <c r="B19" s="8" t="inlineStr">
        <is>
          <t>Teoría crítica</t>
        </is>
      </c>
    </row>
    <row r="20" ht="30" customHeight="1" s="24">
      <c r="A20" s="8" t="inlineStr">
        <is>
          <t>Rodrigo Saavedra Venegas</t>
        </is>
      </c>
      <c r="B20" s="8" t="inlineStr">
        <is>
          <t>Investigación proyectual</t>
        </is>
      </c>
    </row>
    <row r="21" ht="30" customHeight="1" s="24">
      <c r="A21" s="8" t="inlineStr">
        <is>
          <t>Rodrigo Saavedra Venegas</t>
        </is>
      </c>
      <c r="B21" s="8" t="inlineStr">
        <is>
          <t>Teoría crítica</t>
        </is>
      </c>
    </row>
    <row r="22" ht="30" customHeight="1" s="24">
      <c r="A22" s="8" t="inlineStr">
        <is>
          <t>Daniela Salgado Cofré</t>
        </is>
      </c>
      <c r="B22" s="8" t="inlineStr">
        <is>
          <t>Investigación proyectual</t>
        </is>
      </c>
    </row>
    <row r="23" ht="30" customHeight="1" s="24">
      <c r="A23" s="8" t="inlineStr">
        <is>
          <t>Daniela Salgado Cofré</t>
        </is>
      </c>
      <c r="B23" s="8" t="inlineStr">
        <is>
          <t>Teoría crítica</t>
        </is>
      </c>
    </row>
    <row r="24" ht="30" customHeight="1" s="24">
      <c r="A24" s="8" t="inlineStr">
        <is>
          <t>Herbert Spencer González</t>
        </is>
      </c>
      <c r="B24" s="8" t="inlineStr">
        <is>
          <t>Investigación proyectual</t>
        </is>
      </c>
    </row>
    <row r="25" ht="30" customHeight="1" s="24">
      <c r="A25" s="8" t="inlineStr">
        <is>
          <t>Alfred Thiers Jusan</t>
        </is>
      </c>
      <c r="B25" s="8" t="inlineStr">
        <is>
          <t>Investigación proyectual</t>
        </is>
      </c>
    </row>
    <row r="26" ht="30" customHeight="1" s="24">
      <c r="A26" s="8" t="inlineStr">
        <is>
          <t>Lorena Herrera Ponce</t>
        </is>
      </c>
      <c r="B26" s="8" t="inlineStr">
        <is>
          <t>Teoría crítica</t>
        </is>
      </c>
    </row>
    <row r="27" ht="30" customHeight="1" s="24">
      <c r="A27" s="8" t="inlineStr">
        <is>
          <t>Juan Carlos Jeldes Pontio</t>
        </is>
      </c>
      <c r="B27" s="8" t="inlineStr">
        <is>
          <t>Investigación proyectual</t>
        </is>
      </c>
    </row>
    <row r="28" ht="30" customHeight="1" s="24">
      <c r="A28" s="8" t="inlineStr">
        <is>
          <t>Michèle Wilkomirsky Uribe</t>
        </is>
      </c>
      <c r="B28" s="8" t="inlineStr">
        <is>
          <t>Teoría crítica</t>
        </is>
      </c>
    </row>
    <row r="29" ht="30" customHeight="1" s="24">
      <c r="A29" s="8" t="inlineStr">
        <is>
          <t>Michèle Wilkomirsky Uribe</t>
        </is>
      </c>
      <c r="B29" s="8" t="inlineStr">
        <is>
          <t>Investigación proyectual</t>
        </is>
      </c>
    </row>
    <row r="30" ht="30" customHeight="1" s="24">
      <c r="A30" s="8" t="inlineStr">
        <is>
          <t>Óscar Andrade Castro</t>
        </is>
      </c>
      <c r="B30" s="8" t="inlineStr">
        <is>
          <t>Teoría crítica</t>
        </is>
      </c>
    </row>
    <row r="31" ht="30" customHeight="1" s="24">
      <c r="A31" s="8" t="inlineStr">
        <is>
          <t>Óscar Andrade Castro</t>
        </is>
      </c>
      <c r="B31" s="8" t="inlineStr">
        <is>
          <t>Historiografía</t>
        </is>
      </c>
    </row>
    <row r="32">
      <c r="A32" s="8" t="inlineStr">
        <is>
          <t>Anna Braghini</t>
        </is>
      </c>
      <c r="B32" s="8" t="inlineStr">
        <is>
          <t>Historiografía</t>
        </is>
      </c>
    </row>
    <row r="33">
      <c r="A33" s="8" t="inlineStr">
        <is>
          <t>Anna Braghini</t>
        </is>
      </c>
      <c r="B33" s="8" t="inlineStr">
        <is>
          <t>Teoría crítica</t>
        </is>
      </c>
    </row>
    <row r="34" ht="30" customHeight="1" s="24">
      <c r="A34" s="8" t="inlineStr">
        <is>
          <t>Arturo Chicano Jiménez</t>
        </is>
      </c>
      <c r="B34" s="8" t="inlineStr">
        <is>
          <t>Investigación proyectual</t>
        </is>
      </c>
    </row>
    <row r="35" ht="30" customHeight="1" s="24">
      <c r="A35" s="8" t="inlineStr">
        <is>
          <t>Arturo Chicano Jiménez</t>
        </is>
      </c>
      <c r="B35" s="8" t="inlineStr">
        <is>
          <t>Teoría crítica</t>
        </is>
      </c>
    </row>
    <row r="36" ht="30" customHeight="1" s="24">
      <c r="A36" s="8" t="inlineStr">
        <is>
          <t>Sylvia Arriagada Cordero</t>
        </is>
      </c>
      <c r="B36" s="8" t="inlineStr">
        <is>
          <t>Historiografía</t>
        </is>
      </c>
    </row>
    <row r="37" ht="30" customHeight="1" s="24">
      <c r="A37" s="8" t="inlineStr">
        <is>
          <t>Sylvia Arriagada Cordero</t>
        </is>
      </c>
      <c r="B37" s="8" t="inlineStr">
        <is>
          <t>Investigación proyectual</t>
        </is>
      </c>
    </row>
    <row r="38" ht="30" customHeight="1" s="24">
      <c r="A38" s="8" t="inlineStr">
        <is>
          <t>Marcelo Araya Aravena</t>
        </is>
      </c>
      <c r="B38" s="8" t="inlineStr">
        <is>
          <t>Investigación proyectual</t>
        </is>
      </c>
    </row>
    <row r="39" ht="30" customHeight="1" s="24">
      <c r="A39" s="8" t="inlineStr">
        <is>
          <t>Marcelo Araya Aravena</t>
        </is>
      </c>
      <c r="B39" s="8" t="inlineStr">
        <is>
          <t>Teoría crítica</t>
        </is>
      </c>
    </row>
    <row r="40" ht="30" customHeight="1" s="24">
      <c r="A40" s="8" t="inlineStr">
        <is>
          <t>Emanuela Di Felice</t>
        </is>
      </c>
      <c r="B40" s="8" t="inlineStr">
        <is>
          <t>Investigación proyectual</t>
        </is>
      </c>
    </row>
    <row r="41">
      <c r="A41" s="8" t="inlineStr">
        <is>
          <t>Emanuela Di Felice</t>
        </is>
      </c>
      <c r="B41" s="8" t="inlineStr">
        <is>
          <t>Teoría crítica</t>
        </is>
      </c>
    </row>
  </sheetData>
  <mergeCells count="2">
    <mergeCell ref="A2:B2"/>
    <mergeCell ref="A1:B1"/>
  </mergeCells>
  <dataValidations count="2">
    <dataValidation sqref="A5:A505" showDropDown="0" showInputMessage="0" showErrorMessage="1" allowBlank="1" errorTitle="Nombre no válido" error="El valor debe coincidir con un nombre existente en la hoja correspondiente. Usa el menú desplegable para elegir uno." type="list">
      <formula1>InvestigadorNombres</formula1>
    </dataValidation>
    <dataValidation sqref="B5:B505" showDropDown="0" showInputMessage="0" showErrorMessage="1" allowBlank="1" errorTitle="Nombre no válido" error="El valor debe coincidir con un nombre existente en la hoja correspondiente. Usa el menú desplegable para elegir uno." type="list">
      <formula1>ModoNombres</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1"/>
  <sheetViews>
    <sheetView workbookViewId="0">
      <pane ySplit="4" topLeftCell="A5" activePane="bottomLeft" state="frozen"/>
      <selection pane="bottomLeft" activeCell="B7" sqref="B7"/>
    </sheetView>
  </sheetViews>
  <sheetFormatPr baseColWidth="10" defaultColWidth="8.83203125" defaultRowHeight="15"/>
  <cols>
    <col width="35.1640625" customWidth="1" style="24" min="1" max="1"/>
    <col width="22" customWidth="1" style="24" min="2" max="2"/>
    <col width="18" customWidth="1" style="24" min="3" max="3"/>
  </cols>
  <sheetData>
    <row r="1" ht="18" customHeight="1" s="24">
      <c r="A1" s="25" t="inlineStr">
        <is>
          <t>14 · Línea ↔ Modo (m:n)</t>
        </is>
      </c>
    </row>
    <row r="2">
      <c r="A2" s="23" t="inlineStr">
        <is>
          <t>Modos predominantes por Línea — útil para coloreo/filtros del grafo. BORRADOR.</t>
        </is>
      </c>
    </row>
    <row r="4">
      <c r="A4" s="7" t="inlineStr">
        <is>
          <t>línea</t>
        </is>
      </c>
      <c r="B4" s="7" t="inlineStr">
        <is>
          <t>modo</t>
        </is>
      </c>
      <c r="C4" s="7" t="inlineStr">
        <is>
          <t>nivel</t>
        </is>
      </c>
    </row>
    <row r="5" ht="60" customHeight="1" s="24">
      <c r="A5" s="8" t="inlineStr">
        <is>
          <t>Fundamentos disciplinares</t>
        </is>
      </c>
      <c r="B5" s="8" t="inlineStr">
        <is>
          <t>Historiografía</t>
        </is>
      </c>
      <c r="C5" s="8" t="inlineStr">
        <is>
          <t>predominante</t>
        </is>
      </c>
    </row>
    <row r="6" ht="60" customHeight="1" s="24">
      <c r="A6" s="8" t="inlineStr">
        <is>
          <t>Fundamentos disciplinares</t>
        </is>
      </c>
      <c r="B6" s="8" t="inlineStr">
        <is>
          <t>Teoría crítica</t>
        </is>
      </c>
      <c r="C6" s="8" t="inlineStr">
        <is>
          <t>predominante</t>
        </is>
      </c>
    </row>
    <row r="7" ht="60" customHeight="1" s="24">
      <c r="A7" s="8" t="inlineStr">
        <is>
          <t>Fundamentos disciplinares</t>
        </is>
      </c>
      <c r="B7" s="8" t="inlineStr">
        <is>
          <t>Investigación proyectual</t>
        </is>
      </c>
      <c r="C7" s="8" t="inlineStr">
        <is>
          <t>predominante</t>
        </is>
      </c>
    </row>
    <row r="8" ht="60" customHeight="1" s="24">
      <c r="A8" s="8" t="inlineStr">
        <is>
          <t>Prácticas proyectuales</t>
        </is>
      </c>
      <c r="B8" s="8" t="inlineStr">
        <is>
          <t>Teoría crítica</t>
        </is>
      </c>
      <c r="C8" s="8" t="inlineStr">
        <is>
          <t>predominante</t>
        </is>
      </c>
    </row>
    <row r="9" ht="60" customHeight="1" s="24">
      <c r="A9" s="8" t="inlineStr">
        <is>
          <t>Prácticas proyectuales</t>
        </is>
      </c>
      <c r="B9" s="8" t="inlineStr">
        <is>
          <t>Investigación proyectual</t>
        </is>
      </c>
      <c r="C9" s="8" t="inlineStr">
        <is>
          <t>predominante</t>
        </is>
      </c>
    </row>
    <row r="10" ht="60" customHeight="1" s="24">
      <c r="A10" s="8" t="inlineStr">
        <is>
          <t>Prácticas proyectuales</t>
        </is>
      </c>
      <c r="B10" s="8" t="inlineStr">
        <is>
          <t>Historiografía</t>
        </is>
      </c>
      <c r="C10" s="8" t="inlineStr">
        <is>
          <t>presente</t>
        </is>
      </c>
    </row>
    <row r="11" ht="60" customHeight="1" s="24">
      <c r="A11" s="8" t="n"/>
      <c r="B11" s="8" t="n"/>
      <c r="C11" s="8" t="n"/>
    </row>
  </sheetData>
  <mergeCells count="2">
    <mergeCell ref="A1:C1"/>
    <mergeCell ref="A2:C2"/>
  </mergeCells>
  <dataValidations count="2">
    <dataValidation sqref="A5:A505" showDropDown="0" showInputMessage="0" showErrorMessage="1" allowBlank="1" errorTitle="Nombre no válido" error="El valor debe coincidir con un nombre existente en la hoja correspondiente. Usa el menú desplegable para elegir uno." type="list">
      <formula1>LineaNombres</formula1>
    </dataValidation>
    <dataValidation sqref="B5:B505" showDropDown="0" showInputMessage="0" showErrorMessage="1" allowBlank="1" errorTitle="Nombre no válido" error="El valor debe coincidir con un nombre existente en la hoja correspondiente. Usa el menú desplegable para elegir uno." type="list">
      <formula1>ModoNombres</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4"/>
  <sheetViews>
    <sheetView workbookViewId="0">
      <pane ySplit="4" topLeftCell="A5" activePane="bottomLeft" state="frozen"/>
      <selection pane="bottomLeft" activeCell="B3" sqref="B3"/>
    </sheetView>
  </sheetViews>
  <sheetFormatPr baseColWidth="10" defaultColWidth="8.83203125" defaultRowHeight="15"/>
  <cols>
    <col width="8" customWidth="1" style="24" min="1" max="1"/>
    <col width="46.6640625" customWidth="1" style="24" min="2" max="2"/>
    <col width="100" customWidth="1" style="24" min="3" max="3"/>
    <col width="14" customWidth="1" style="24" min="4" max="4"/>
  </cols>
  <sheetData>
    <row r="1" ht="18" customHeight="1" s="24">
      <c r="A1" s="25" t="inlineStr">
        <is>
          <t>15 · Decisiones pendientes</t>
        </is>
      </c>
    </row>
    <row r="2">
      <c r="A2" s="23" t="inlineStr">
        <is>
          <t>Cada decisión bloquea o refina el modelo. Marcar como 'Resuelta' con la respuesta.</t>
        </is>
      </c>
    </row>
    <row r="4">
      <c r="A4" s="7" t="inlineStr">
        <is>
          <t>id</t>
        </is>
      </c>
      <c r="B4" s="7" t="inlineStr">
        <is>
          <t>decisión</t>
        </is>
      </c>
      <c r="C4" s="7" t="inlineStr">
        <is>
          <t>contexto</t>
        </is>
      </c>
      <c r="D4" s="7" t="inlineStr">
        <is>
          <t>estado</t>
        </is>
      </c>
    </row>
    <row r="5" ht="30" customHeight="1" s="24">
      <c r="A5" s="9" t="inlineStr">
        <is>
          <t>D-01</t>
        </is>
      </c>
      <c r="B5" s="9" t="inlineStr">
        <is>
          <t>¿Cuántas líneas de investigación?</t>
        </is>
      </c>
      <c r="C5" s="9" t="inlineStr">
        <is>
          <t>Resuelta en septiembre de 2026: dos líneas, que prolongan las áreas Extensión, Ciudad y Habitabilidad y Educación, Espacio y Aprendizaje del Magíster (ver propuesta-dos-lineas.md).</t>
        </is>
      </c>
      <c r="D5" s="9" t="inlineStr">
        <is>
          <t>Resuelta</t>
        </is>
      </c>
    </row>
    <row r="6" ht="30" customHeight="1" s="24">
      <c r="A6" s="9" t="inlineStr">
        <is>
          <t>D-02</t>
        </is>
      </c>
      <c r="B6" s="9" t="inlineStr">
        <is>
          <t>Nombres definitivos de las Líneas</t>
        </is>
      </c>
      <c r="C6" s="9" t="inlineStr">
        <is>
          <t>Resuelta el 6 oct 2026: Prácticas proyectuales (LIN-02) y Fundamentos disciplinares (LIN-01), nombres simétricos (plural que engloba + adjetivo). Reemplaza 'Intervención proyectual' (29 sep). La dimensión formativa va en la definición, no en el título.</t>
        </is>
      </c>
      <c r="D6" s="9" t="inlineStr">
        <is>
          <t>Resuelta</t>
        </is>
      </c>
    </row>
    <row r="7" ht="30" customHeight="1" s="24">
      <c r="A7" s="9" t="inlineStr">
        <is>
          <t>D-03</t>
        </is>
      </c>
      <c r="B7" s="9" t="inlineStr">
        <is>
          <t>Áreas del Postgrado: ¿quedan? ¿se renombran?</t>
        </is>
      </c>
      <c r="C7" s="9" t="inlineStr">
        <is>
          <t>Material plantea variantes (ej. 'Extensión, Territorio y Ecologías del Habitar'). Si se mantienen como eje ortogonal, decidir nombre canónico.</t>
        </is>
      </c>
      <c r="D7" s="9" t="inlineStr">
        <is>
          <t>Abierta</t>
        </is>
      </c>
    </row>
    <row r="8">
      <c r="A8" s="9" t="inlineStr">
        <is>
          <t>D-04</t>
        </is>
      </c>
      <c r="B8" s="9" t="inlineStr">
        <is>
          <t>Sublínea SUB-22 'Prácticas colectivas'</t>
        </is>
      </c>
      <c r="C8" s="9" t="inlineStr">
        <is>
          <t>Asignada a Prácticas proyectuales (polo proyectual). Tiene respaldo también en Fundamentos disciplinares por el acervo de las travesías. Decidir si queda como puente entre líneas.</t>
        </is>
      </c>
      <c r="D8" s="9" t="inlineStr">
        <is>
          <t>Abierta</t>
        </is>
      </c>
    </row>
    <row r="9">
      <c r="A9" s="9" t="inlineStr">
        <is>
          <t>D-05</t>
        </is>
      </c>
      <c r="B9" s="9" t="inlineStr">
        <is>
          <t>Sublínea SUB-21 'Perspectivas decoloniales'</t>
        </is>
      </c>
      <c r="C9" s="9" t="inlineStr">
        <is>
          <t>Asignada a Prácticas proyectuales (polo teórico). Podría leerse también en Fundamentos disciplinares (diseño decolonial) o quedar transversal.</t>
        </is>
      </c>
      <c r="D9" s="9" t="inlineStr">
        <is>
          <t>Abierta</t>
        </is>
      </c>
    </row>
    <row r="10" ht="30" customHeight="1" s="24">
      <c r="A10" s="9" t="inlineStr">
        <is>
          <t>D-06</t>
        </is>
      </c>
      <c r="B10" s="9" t="inlineStr">
        <is>
          <t>Cobertura de mapeo Sublínea↔Tema</t>
        </is>
      </c>
      <c r="C10" s="9" t="inlineStr">
        <is>
          <t>Mapeo solo de alta confianza. Sublíneas SUB-05, SUB-13, SUB-17, SUB-23, SUB-24 sin temas asociados — completar o decidir si retiran del banco.</t>
        </is>
      </c>
      <c r="D10" s="9" t="inlineStr">
        <is>
          <t>Abierta</t>
        </is>
      </c>
    </row>
    <row r="11" ht="30" customHeight="1" s="24">
      <c r="A11" s="9" t="inlineStr">
        <is>
          <t>D-07</t>
        </is>
      </c>
      <c r="B11" s="9" t="inlineStr">
        <is>
          <t>Proximidad semántica latente</t>
        </is>
      </c>
      <c r="C11" s="9" t="inlineStr">
        <is>
          <t>Pendiente definir: ¿es declarada (curaduría humana, valor de afinidad) o computada (embeddings sobre nombres+descripciones)? Esto cambia los datos que la planilla debe contener (vector_id, score, etc.).</t>
        </is>
      </c>
      <c r="D11" s="9" t="inlineStr">
        <is>
          <t>Abierta</t>
        </is>
      </c>
    </row>
    <row r="12" ht="30" customHeight="1" s="24">
      <c r="A12" s="9" t="inlineStr">
        <is>
          <t>D-08</t>
        </is>
      </c>
      <c r="B12" s="9" t="inlineStr">
        <is>
          <t>¿Las Salidas se asocian solo a Labs, o también a Líneas/Sublíneas?</t>
        </is>
      </c>
      <c r="C12" s="9" t="inlineStr">
        <is>
          <t>Hoy el modelo asocia Salida↔Lab. Confirmar si una Línea declara una Salida directamente, o si siempre pasa por su(s) Lab(s).</t>
        </is>
      </c>
      <c r="D12" s="9" t="inlineStr">
        <is>
          <t>Abierta</t>
        </is>
      </c>
    </row>
    <row r="13" ht="30" customHeight="1" s="24">
      <c r="A13" s="9" t="inlineStr">
        <is>
          <t>D-09</t>
        </is>
      </c>
      <c r="B13" s="9" t="inlineStr">
        <is>
          <t>Investigadores afiliados a más de un Área</t>
        </is>
      </c>
      <c r="C13" s="9" t="inlineStr">
        <is>
          <t>Modelo actual usa 'área_principal' (1:1). Si hay investigadores con afiliación múltiple, conviene una hoja Investigador↔Área (m:n).</t>
        </is>
      </c>
      <c r="D13" s="9" t="inlineStr">
        <is>
          <t>Abierta</t>
        </is>
      </c>
    </row>
    <row r="14" ht="30" customHeight="1" s="24">
      <c r="A14" s="9" t="inlineStr">
        <is>
          <t>D-10</t>
        </is>
      </c>
      <c r="B14" s="9" t="inlineStr">
        <is>
          <t>Fuente única de verdad</t>
        </is>
      </c>
      <c r="C14" s="9" t="inlineStr">
        <is>
          <t>Esta planilla es ahora la fuente. Decidir cómo se sincroniza con la planilla anterior (lineas-areas-mad.csv) y si el grafo del index.html consume desde aquí.</t>
        </is>
      </c>
      <c r="D14" s="9" t="inlineStr">
        <is>
          <t>Abierta</t>
        </is>
      </c>
    </row>
  </sheetData>
  <mergeCells count="2">
    <mergeCell ref="A1:D1"/>
    <mergeCell ref="A2:D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4"/>
  <sheetViews>
    <sheetView workbookViewId="0">
      <selection activeCell="B22" sqref="B22"/>
    </sheetView>
  </sheetViews>
  <sheetFormatPr baseColWidth="10" defaultColWidth="8.83203125" defaultRowHeight="15"/>
  <cols>
    <col width="40" customWidth="1" style="24" min="1" max="1"/>
    <col width="20" customWidth="1" style="24" min="2" max="2"/>
  </cols>
  <sheetData>
    <row r="1" ht="18" customHeight="1" s="24">
      <c r="A1" s="25" t="inlineStr">
        <is>
          <t>Resumen cuantitativo</t>
        </is>
      </c>
    </row>
    <row r="3" ht="16" customHeight="1" s="24">
      <c r="A3" s="26" t="inlineStr">
        <is>
          <t>Conteos por entidad (auto-calculados)</t>
        </is>
      </c>
    </row>
    <row r="4">
      <c r="A4" s="10" t="inlineStr">
        <is>
          <t>entidad / relación</t>
        </is>
      </c>
      <c r="B4" s="10" t="inlineStr">
        <is>
          <t>conteo</t>
        </is>
      </c>
    </row>
    <row r="5">
      <c r="A5" s="11" t="inlineStr">
        <is>
          <t>Líneas</t>
        </is>
      </c>
      <c r="B5" s="11">
        <f>COUNTA('01_Lineas'!A:A)-1</f>
        <v/>
      </c>
    </row>
    <row r="6">
      <c r="A6" s="11" t="inlineStr">
        <is>
          <t>Sublíneas</t>
        </is>
      </c>
      <c r="B6" s="11">
        <f>COUNTA('02_Sublineas'!A:A)-1</f>
        <v/>
      </c>
    </row>
    <row r="7">
      <c r="A7" s="11" t="inlineStr">
        <is>
          <t>Áreas</t>
        </is>
      </c>
      <c r="B7" s="11">
        <f>COUNTA('03_Areas'!A:A)-1</f>
        <v/>
      </c>
    </row>
    <row r="8">
      <c r="A8" s="11" t="inlineStr">
        <is>
          <t>Modos</t>
        </is>
      </c>
      <c r="B8" s="11">
        <f>COUNTA('04_Modos'!A:A)-1</f>
        <v/>
      </c>
    </row>
    <row r="9">
      <c r="A9" s="11" t="inlineStr">
        <is>
          <t>Salidas</t>
        </is>
      </c>
      <c r="B9" s="11">
        <f>COUNTA('05_Salidas'!A:A)-1</f>
        <v/>
      </c>
    </row>
    <row r="10">
      <c r="A10" s="11" t="inlineStr">
        <is>
          <t>Laboratorios</t>
        </is>
      </c>
      <c r="B10" s="11">
        <f>COUNTA('06_Laboratorios'!A:A)-1</f>
        <v/>
      </c>
    </row>
    <row r="11">
      <c r="A11" s="11" t="inlineStr">
        <is>
          <t>Investigadores</t>
        </is>
      </c>
      <c r="B11" s="11">
        <f>COUNTA('07_Investigadores'!A:A)-1</f>
        <v/>
      </c>
    </row>
    <row r="12">
      <c r="A12" s="11" t="inlineStr">
        <is>
          <t>Temas</t>
        </is>
      </c>
      <c r="B12" s="11">
        <f>COUNTA('08_Temas'!A:A)-1</f>
        <v/>
      </c>
    </row>
    <row r="13">
      <c r="A13" s="11" t="inlineStr">
        <is>
          <t>Sublínea↔Tema</t>
        </is>
      </c>
      <c r="B13" s="11">
        <f>COUNTA('08_Temas'!A:A)-3</f>
        <v/>
      </c>
    </row>
    <row r="14">
      <c r="A14" s="11" t="inlineStr">
        <is>
          <t>Lab↔Línea</t>
        </is>
      </c>
      <c r="B14" s="11">
        <f>COUNTA('10_Lab_Linea'!A:A)-1</f>
        <v/>
      </c>
    </row>
    <row r="15">
      <c r="A15" s="11" t="inlineStr">
        <is>
          <t>Lab↔Salida</t>
        </is>
      </c>
      <c r="B15" s="11">
        <f>COUNTA('11_Lab_Salida'!A:A)-1</f>
        <v/>
      </c>
    </row>
    <row r="16">
      <c r="A16" s="11" t="inlineStr">
        <is>
          <t>Investigador↔Lab</t>
        </is>
      </c>
      <c r="B16" s="11">
        <f>COUNTA('12_Investigador_Lab'!A:A)-1</f>
        <v/>
      </c>
    </row>
    <row r="17">
      <c r="A17" s="11" t="inlineStr">
        <is>
          <t>Investigador↔Modo</t>
        </is>
      </c>
      <c r="B17" s="11">
        <f>COUNTA('13_Investigador_Modo'!A:A)-1</f>
        <v/>
      </c>
    </row>
    <row r="18">
      <c r="A18" s="11" t="inlineStr">
        <is>
          <t>Línea↔Modo</t>
        </is>
      </c>
      <c r="B18" s="11">
        <f>COUNTA('14_Linea_Modo'!A:A)-1</f>
        <v/>
      </c>
    </row>
    <row r="19">
      <c r="A19" s="11" t="inlineStr">
        <is>
          <t>Sello (variantes)</t>
        </is>
      </c>
      <c r="B19" s="11">
        <f>COUNTA('17_Sello'!A:A)-1</f>
        <v/>
      </c>
    </row>
    <row r="20">
      <c r="A20" s="11" t="inlineStr">
        <is>
          <t>Proximidad (pares)</t>
        </is>
      </c>
      <c r="B20" s="11">
        <f>COUNTA('18_Proximidad_Tematica'!A:A)-1</f>
        <v/>
      </c>
    </row>
    <row r="21" ht="16" customHeight="1" s="24">
      <c r="A21" s="26" t="inlineStr">
        <is>
          <t>Cobertura de mapeos</t>
        </is>
      </c>
    </row>
    <row r="22">
      <c r="A22" t="inlineStr">
        <is>
          <t>Temas con al menos una Sublínea</t>
        </is>
      </c>
      <c r="B22">
        <f>SUMPRODUCT(('08_Temas'!A5:A500&lt;&gt;"")/COUNTIF('08_Temas'!A5:A500,'08_Temas'!A5:A500&amp;""))</f>
        <v/>
      </c>
    </row>
    <row r="23">
      <c r="A23" t="inlineStr">
        <is>
          <t>Total temas</t>
        </is>
      </c>
      <c r="B23">
        <f>COUNTA('08_Temas'!A:A)-1</f>
        <v/>
      </c>
    </row>
    <row r="24">
      <c r="A24" t="inlineStr">
        <is>
          <t>% temas mapeados</t>
        </is>
      </c>
      <c r="B24" s="12">
        <f>B22/B23</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0"/>
  <sheetViews>
    <sheetView workbookViewId="0">
      <pane ySplit="4" topLeftCell="A5" activePane="bottomLeft" state="frozen"/>
      <selection pane="bottomLeft" activeCell="A1" sqref="A1:C1"/>
    </sheetView>
  </sheetViews>
  <sheetFormatPr baseColWidth="10" defaultColWidth="8.83203125" defaultRowHeight="15"/>
  <cols>
    <col width="10" customWidth="1" style="24" min="1" max="1"/>
    <col width="38" customWidth="1" style="24" min="2" max="2"/>
    <col width="110" customWidth="1" style="24" min="3" max="3"/>
  </cols>
  <sheetData>
    <row r="1" ht="18" customHeight="1" s="24">
      <c r="A1" s="25" t="inlineStr">
        <is>
          <t>17 · Sello formativo del doctorado</t>
        </is>
      </c>
    </row>
    <row r="2" ht="45" customHeight="1" s="24">
      <c r="A2" s="28" t="inlineStr">
        <is>
          <t>Afirmación identitaria sobre qué se forma. La fila marcada (ELEGIDO, verde) es la versión que se usa para copy institucional. Las otras se conservan como trazabilidad de las alternativas exploradas. Regla de estilo de la elegida: redacción en afirmativo, sin em-dashes.</t>
        </is>
      </c>
    </row>
    <row r="3"/>
    <row r="4">
      <c r="A4" s="13" t="inlineStr">
        <is>
          <t>Variante</t>
        </is>
      </c>
      <c r="B4" s="13" t="inlineStr">
        <is>
          <t>Foco</t>
        </is>
      </c>
      <c r="C4" s="13" t="inlineStr">
        <is>
          <t>Texto</t>
        </is>
      </c>
    </row>
    <row r="5" ht="128" customHeight="1" s="24">
      <c r="A5" s="14" t="n">
        <v>1</v>
      </c>
      <c r="B5" s="14" t="inlineStr">
        <is>
          <t>La obra como argumento (ELEGIDO)</t>
        </is>
      </c>
      <c r="C5" s="14" t="inlineStr">
        <is>
          <t>El doctorado forma investigadores para quienes la obra es origen y prueba de la tesis. Esa obra, sea edificada, fabricada, escrita o dibujada, vale como argumento por sí misma, y el discurso doctoral se construye para hacerla legible y discutible. La pregunta que esa obra está llamada a argumentar es la que el programa hace suya: cómo reinventar el habitar humano, y la responde desde el habitar poético que funda a la Escuela. Las dos líneas del doctorado investigan ese habitar en arquitectura y en diseño: Fundamentos disciplinares investiga acerca del proyecto, lo que sostiene a la disciplina y cómo se transmite; Prácticas proyectuales investiga a través del proyecto, como obra nueva que se inscribe en un contexto y lo modifica. Cada línea lleva dentro su contraparte, teórica o proyectual. Doctorarse aquí es haber producido una obra capaz de sostener esos principios al ponerse a prueba y, en su mejor versión, capaz de reformularlos.</t>
        </is>
      </c>
    </row>
    <row r="6" ht="35" customHeight="1" s="24">
      <c r="A6" s="15" t="n">
        <v>2</v>
      </c>
      <c r="B6" s="15" t="inlineStr">
        <is>
          <t>Palabra y obra inseparables</t>
        </is>
      </c>
      <c r="C6" s="15" t="inlineStr">
        <is>
          <t>Lo que aquí se forma es la imposibilidad de separar lo que se dice de lo que se hace: cada una porta el argumento de la otra. El doctorando se gradúa cuando ese vínculo deja de ser declarativo y aparece, demostrable, en su trabajo.</t>
        </is>
      </c>
    </row>
    <row r="7" ht="49" customHeight="1" s="24">
      <c r="A7" s="15" t="n">
        <v>3</v>
      </c>
      <c r="B7" s="15" t="inlineStr">
        <is>
          <t>Tres disciplinas encadenadas</t>
        </is>
      </c>
      <c r="C7" s="15" t="inlineStr">
        <is>
          <t>La formación doctoral está organizada en torno a tres disciplinas que se exigen entre sí: una observación sostenida en el tiempo, una palabra precisa para nombrar lo observado, y una obra que las pone a prueba. La tesis doctoral es haber recorrido ese encadenamiento al menos una vez con resultado defendible.</t>
        </is>
      </c>
    </row>
    <row r="8" ht="39" customHeight="1" s="24">
      <c r="A8" s="15" t="n">
        <v>4</v>
      </c>
      <c r="B8" s="15" t="inlineStr">
        <is>
          <t>Pensar con el material</t>
        </is>
      </c>
      <c r="C8" s="15" t="inlineStr">
        <is>
          <t>Se forma una capacidad poco frecuente: pensar con el material y no sobre el material. Plano, maqueta, terreno, prototipo y página son los lugares donde el pensamiento ocurre, no representaciones de un pensamiento que ocurrió en otra parte.</t>
        </is>
      </c>
    </row>
    <row r="9" ht="33" customHeight="1" s="24">
      <c r="A9" s="15" t="n">
        <v>5</v>
      </c>
      <c r="B9" s="15" t="inlineStr">
        <is>
          <t>Responsabilidad por la obra propia</t>
        </is>
      </c>
      <c r="C9" s="15" t="inlineStr">
        <is>
          <t>El doctorando responde por una obra que hace, no por una literatura que comenta. El programa no forma críticos de arquitectura y diseño: forma investigadores que producen obra y la sostienen en el plano académico.</t>
        </is>
      </c>
    </row>
    <row r="10" ht="34" customHeight="1" s="24">
      <c r="A10" s="15" t="n">
        <v>6</v>
      </c>
      <c r="B10" s="15" t="inlineStr">
        <is>
          <t>Travesía como exigencia</t>
        </is>
      </c>
      <c r="C10" s="15" t="inlineStr">
        <is>
          <t>La formación incorpora la travesía como condición: el continente se piensa cruzándolo, observándolo y dejando obra en él. Quien se doctora aquí no escribe sobre territorios que no ha recorrido ni sobre comunidades con las que no ha trabajado.</t>
        </is>
      </c>
    </row>
  </sheetData>
  <mergeCells count="2">
    <mergeCell ref="A1:C1"/>
    <mergeCell ref="A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90"/>
  <sheetViews>
    <sheetView workbookViewId="0">
      <pane ySplit="4" topLeftCell="A5" activePane="bottomLeft" state="frozen"/>
      <selection pane="bottomLeft" activeCell="A1" sqref="A1"/>
    </sheetView>
  </sheetViews>
  <sheetFormatPr baseColWidth="10" defaultColWidth="8.83203125" defaultRowHeight="15"/>
  <cols>
    <col width="14" customWidth="1" style="24" min="1" max="1"/>
    <col width="38" customWidth="1" style="24" min="2" max="2"/>
    <col width="14" customWidth="1" style="24" min="3" max="3"/>
    <col width="38" customWidth="1" style="24" min="4" max="4"/>
    <col width="11" customWidth="1" style="24" min="5" max="5"/>
    <col width="70" customWidth="1" style="24" min="6" max="6"/>
    <col width="14" customWidth="1" style="24" min="7" max="7"/>
  </cols>
  <sheetData>
    <row r="1" ht="18" customHeight="1" s="24">
      <c r="A1" s="25" t="inlineStr">
        <is>
          <t>18 · Proximidad temática (Sublínea ↔ Sublínea)</t>
        </is>
      </c>
    </row>
    <row r="2" ht="60" customHeight="1" s="24">
      <c r="A2" s="28" t="inlineStr">
        <is>
          <t>Matriz de afinidad declarada como pares simétricos. Inferida desde nombres + descripciones; estado=INFERIDO. Afinar a mano: corregir afinidad, agregar/quitar pares, marcar estado=CONFIRMADO/AJUSTADO/DESCARTADO. Cada par implica afinidad inversa equivalente (b↔a). Si re-generas la planilla con build_xlsx.py, los cambios manuales se sobrescriben — reflejarlos en PROXIMIDAD_PARES del script para que persistan.</t>
        </is>
      </c>
    </row>
    <row r="4">
      <c r="A4" s="13" t="inlineStr">
        <is>
          <t>sublínea_a</t>
        </is>
      </c>
      <c r="B4" s="13" t="inlineStr">
        <is>
          <t>sublínea_b</t>
        </is>
      </c>
      <c r="C4" s="13" t="inlineStr">
        <is>
          <t>afinidad</t>
        </is>
      </c>
      <c r="D4" s="13" t="inlineStr">
        <is>
          <t>razonamiento</t>
        </is>
      </c>
      <c r="E4" s="13" t="inlineStr">
        <is>
          <t>estado</t>
        </is>
      </c>
    </row>
    <row r="5" ht="28" customHeight="1" s="24">
      <c r="A5" s="16" t="inlineStr">
        <is>
          <t>Adaptabilidad urbana ante riesgos costeros</t>
        </is>
      </c>
      <c r="B5" s="16" t="inlineStr">
        <is>
          <t>Vulnerabilidad física de asentamientos costeros</t>
        </is>
      </c>
      <c r="C5" s="17" t="n">
        <v>0.9</v>
      </c>
      <c r="D5" s="16" t="inlineStr">
        <is>
          <t>Adaptabilidad y vulnerabilidad costera son caras complementarias del mismo problema.</t>
        </is>
      </c>
      <c r="E5" s="16" t="inlineStr">
        <is>
          <t>INFERIDO</t>
        </is>
      </c>
    </row>
    <row r="6" ht="28" customHeight="1" s="24">
      <c r="A6" s="16" t="inlineStr">
        <is>
          <t>Espacios de aprendizaje en contextos vulnerables</t>
        </is>
      </c>
      <c r="B6" s="16" t="inlineStr">
        <is>
          <t>Espacios educativos en contextos vulnerables</t>
        </is>
      </c>
      <c r="C6" s="17" t="n">
        <v>0.9</v>
      </c>
      <c r="D6" s="16" t="inlineStr">
        <is>
          <t>Aprendizaje y espacios educativos en contextos vulnerables son lecturas casi solapadas.</t>
        </is>
      </c>
      <c r="E6" s="16" t="inlineStr">
        <is>
          <t>INFERIDO</t>
        </is>
      </c>
    </row>
    <row r="7" ht="42" customHeight="1" s="24">
      <c r="A7" s="16" t="inlineStr">
        <is>
          <t>Accesibilidad cognitiva y codiseño</t>
        </is>
      </c>
      <c r="B7" s="16" t="inlineStr">
        <is>
          <t>Accesibilidad e inclusión</t>
        </is>
      </c>
      <c r="C7" s="17" t="n">
        <v>0.85</v>
      </c>
      <c r="D7" s="16" t="inlineStr">
        <is>
          <t>La accesibilidad cognitiva es un caso específico del marco de accesibilidad e inclusión.</t>
        </is>
      </c>
      <c r="E7" s="16" t="inlineStr">
        <is>
          <t>INFERIDO</t>
        </is>
      </c>
    </row>
    <row r="8" ht="42" customHeight="1" s="24">
      <c r="A8" s="16" t="inlineStr">
        <is>
          <t>Adaptabilidad urbana ante riesgos costeros</t>
        </is>
      </c>
      <c r="B8" s="16" t="inlineStr">
        <is>
          <t>Adaptación formal ante desastres</t>
        </is>
      </c>
      <c r="C8" s="17" t="n">
        <v>0.85</v>
      </c>
      <c r="D8" s="16" t="inlineStr">
        <is>
          <t>Riesgos costeros y desastres comparten marco analítico y operativo.</t>
        </is>
      </c>
      <c r="E8" s="16" t="inlineStr">
        <is>
          <t>INFERIDO</t>
        </is>
      </c>
    </row>
    <row r="9" ht="42" customHeight="1" s="24">
      <c r="A9" s="16" t="inlineStr">
        <is>
          <t>Diseño de espacios educativos</t>
        </is>
      </c>
      <c r="B9" s="16" t="inlineStr">
        <is>
          <t>Espacios educativos en contextos vulnerables</t>
        </is>
      </c>
      <c r="C9" s="17" t="n">
        <v>0.85</v>
      </c>
      <c r="D9" s="16" t="inlineStr">
        <is>
          <t>Espacios educativos vulnerables es subdominio directo.</t>
        </is>
      </c>
      <c r="E9" s="16" t="inlineStr">
        <is>
          <t>INFERIDO</t>
        </is>
      </c>
    </row>
    <row r="10" ht="42" customHeight="1" s="24">
      <c r="A10" s="16" t="inlineStr">
        <is>
          <t>Diseño de espacios educativos</t>
        </is>
      </c>
      <c r="B10" s="16" t="inlineStr">
        <is>
          <t>Programas educativos y espacios escolares</t>
        </is>
      </c>
      <c r="C10" s="17" t="n">
        <v>0.85</v>
      </c>
      <c r="D10" s="16" t="inlineStr">
        <is>
          <t>Programas educativos definen los requisitos del espacio.</t>
        </is>
      </c>
      <c r="E10" s="16" t="inlineStr">
        <is>
          <t>INFERIDO</t>
        </is>
      </c>
    </row>
    <row r="11" ht="42" customHeight="1" s="24">
      <c r="A11" s="16" t="inlineStr">
        <is>
          <t>Accesibilidad cognitiva y codiseño</t>
        </is>
      </c>
      <c r="B11" s="16" t="inlineStr">
        <is>
          <t>Comunicación aumentativa y alternativa</t>
        </is>
      </c>
      <c r="C11" s="17" t="n">
        <v>0.8</v>
      </c>
      <c r="D11" s="16" t="inlineStr">
        <is>
          <t>CAA es la aplicación operativa más directa de la accesibilidad cognitiva.</t>
        </is>
      </c>
      <c r="E11" s="16" t="inlineStr">
        <is>
          <t>INFERIDO</t>
        </is>
      </c>
    </row>
    <row r="12" ht="28" customHeight="1" s="24">
      <c r="A12" s="16" t="inlineStr">
        <is>
          <t>Adaptación formal ante desastres</t>
        </is>
      </c>
      <c r="B12" s="16" t="inlineStr">
        <is>
          <t>Vulnerabilidad física de asentamientos costeros</t>
        </is>
      </c>
      <c r="C12" s="17" t="n">
        <v>0.8</v>
      </c>
      <c r="D12" s="16" t="inlineStr">
        <is>
          <t>Vulnerabilidad costera es la causa que la adaptación formal aborda.</t>
        </is>
      </c>
      <c r="E12" s="16" t="inlineStr">
        <is>
          <t>INFERIDO</t>
        </is>
      </c>
    </row>
    <row r="13" ht="42" customHeight="1" s="24">
      <c r="A13" s="16" t="inlineStr">
        <is>
          <t>Diseño de espacios educativos</t>
        </is>
      </c>
      <c r="B13" s="16" t="inlineStr">
        <is>
          <t>Proyecto de arquitectura escolar</t>
        </is>
      </c>
      <c r="C13" s="17" t="n">
        <v>0.8</v>
      </c>
      <c r="D13" s="16" t="inlineStr">
        <is>
          <t>Proyecto escolar es el caso paradigmático del diseño educativo.</t>
        </is>
      </c>
      <c r="E13" s="16" t="inlineStr">
        <is>
          <t>INFERIDO</t>
        </is>
      </c>
    </row>
    <row r="14" ht="56" customHeight="1" s="24">
      <c r="A14" s="16" t="inlineStr">
        <is>
          <t>Programas educativos y espacios escolares</t>
        </is>
      </c>
      <c r="B14" s="16" t="inlineStr">
        <is>
          <t>Proyecto de arquitectura escolar</t>
        </is>
      </c>
      <c r="C14" s="17" t="n">
        <v>0.8</v>
      </c>
      <c r="D14" s="16" t="inlineStr">
        <is>
          <t>Programas educativos sustentan la pregunta del proyecto de arquitectura escolar.</t>
        </is>
      </c>
      <c r="E14" s="16" t="inlineStr">
        <is>
          <t>INFERIDO</t>
        </is>
      </c>
    </row>
    <row r="15" ht="28" customHeight="1" s="24">
      <c r="A15" s="16" t="inlineStr">
        <is>
          <t>Saberes técnicos análogos</t>
        </is>
      </c>
      <c r="B15" s="16" t="inlineStr">
        <is>
          <t>Transferencia de medios tecnológicos con aplicación al emprendimiento local</t>
        </is>
      </c>
      <c r="C15" s="17" t="n">
        <v>0.8</v>
      </c>
      <c r="D15" s="16" t="inlineStr">
        <is>
          <t>Saberes técnicos análogos y transferencia tecnológica son caras del mismo programa.</t>
        </is>
      </c>
      <c r="E15" s="16" t="inlineStr">
        <is>
          <t>INFERIDO</t>
        </is>
      </c>
    </row>
    <row r="16" ht="28" customHeight="1" s="24">
      <c r="A16" s="16" t="inlineStr">
        <is>
          <t>Accesibilidad e inclusión</t>
        </is>
      </c>
      <c r="B16" s="16" t="inlineStr">
        <is>
          <t>Diseño y vida independiente</t>
        </is>
      </c>
      <c r="C16" s="17" t="n">
        <v>0.75</v>
      </c>
      <c r="D16" s="16" t="inlineStr">
        <is>
          <t>Vida independiente es el horizonte de la inclusión.</t>
        </is>
      </c>
      <c r="E16" s="16" t="inlineStr">
        <is>
          <t>INFERIDO</t>
        </is>
      </c>
    </row>
    <row r="17" ht="28" customHeight="1" s="24">
      <c r="A17" s="16" t="inlineStr">
        <is>
          <t>Acervo histórico de Ciudad Abierta y de la Escuela de Arquitectura y Diseño</t>
        </is>
      </c>
      <c r="B17" s="16" t="inlineStr">
        <is>
          <t>Teoría e historia de la arquitectura</t>
        </is>
      </c>
      <c r="C17" s="17" t="n">
        <v>0.75</v>
      </c>
      <c r="D17" s="16" t="inlineStr">
        <is>
          <t>Teoría e historia se nutren del acervo institucional.</t>
        </is>
      </c>
      <c r="E17" s="16" t="inlineStr">
        <is>
          <t>INFERIDO</t>
        </is>
      </c>
    </row>
    <row r="18" ht="28" customHeight="1" s="24">
      <c r="A18" s="16" t="inlineStr">
        <is>
          <t>Arquitectura como medio didáctico</t>
        </is>
      </c>
      <c r="B18" s="16" t="inlineStr">
        <is>
          <t>Medios de aprendizaje en arquitectura y diseño</t>
        </is>
      </c>
      <c r="C18" s="17" t="n">
        <v>0.75</v>
      </c>
      <c r="D18" s="16" t="inlineStr">
        <is>
          <t>Medios de aprendizaje son el correlato instrumental del medio didáctico.</t>
        </is>
      </c>
      <c r="E18" s="16" t="inlineStr">
        <is>
          <t>INFERIDO</t>
        </is>
      </c>
    </row>
    <row r="19" ht="42" customHeight="1" s="24">
      <c r="A19" s="16" t="inlineStr">
        <is>
          <t>Arquitectura como medio didáctico</t>
        </is>
      </c>
      <c r="B19" s="16" t="inlineStr">
        <is>
          <t>Proyecto de arquitectura escolar</t>
        </is>
      </c>
      <c r="C19" s="17" t="n">
        <v>0.75</v>
      </c>
      <c r="D19" s="16" t="inlineStr">
        <is>
          <t>El proyecto escolar es la forma máxima del medio didáctico.</t>
        </is>
      </c>
      <c r="E19" s="16" t="inlineStr">
        <is>
          <t>INFERIDO</t>
        </is>
      </c>
    </row>
    <row r="20" ht="28" customHeight="1" s="24">
      <c r="A20" s="16" t="inlineStr">
        <is>
          <t>Diseño de espacios educativos</t>
        </is>
      </c>
      <c r="B20" s="16" t="inlineStr">
        <is>
          <t>Espacios de aprendizaje en contextos vulnerables</t>
        </is>
      </c>
      <c r="C20" s="17" t="n">
        <v>0.75</v>
      </c>
      <c r="D20" s="16" t="inlineStr">
        <is>
          <t>Aprendizaje en contextos vulnerables exige espacios educativos pensados.</t>
        </is>
      </c>
      <c r="E20" s="16" t="inlineStr">
        <is>
          <t>INFERIDO</t>
        </is>
      </c>
    </row>
    <row r="21" ht="28" customHeight="1" s="24">
      <c r="A21" s="16" t="inlineStr">
        <is>
          <t>Industrias creativas e innovación social para el desarrollo local</t>
        </is>
      </c>
      <c r="B21" s="16" t="inlineStr">
        <is>
          <t>Transferencia de medios tecnológicos con aplicación al emprendimiento local</t>
        </is>
      </c>
      <c r="C21" s="17" t="n">
        <v>0.75</v>
      </c>
      <c r="D21" s="16" t="inlineStr">
        <is>
          <t>Transferencia tecnológica es vector clave del emprendimiento local.</t>
        </is>
      </c>
      <c r="E21" s="16" t="inlineStr">
        <is>
          <t>INFERIDO</t>
        </is>
      </c>
    </row>
    <row r="22" ht="28" customHeight="1" s="24">
      <c r="A22" s="16" t="inlineStr">
        <is>
          <t>Perspectivas decoloniales</t>
        </is>
      </c>
      <c r="B22" s="16" t="inlineStr">
        <is>
          <t>Urbanización, urbanismo y ecología política</t>
        </is>
      </c>
      <c r="C22" s="17" t="n">
        <v>0.75</v>
      </c>
      <c r="D22" s="16" t="inlineStr">
        <is>
          <t>Ecología política urbana lee la urbanización en clave decolonial.</t>
        </is>
      </c>
      <c r="E22" s="16" t="inlineStr">
        <is>
          <t>INFERIDO</t>
        </is>
      </c>
    </row>
    <row r="23" ht="42" customHeight="1" s="24">
      <c r="A23" s="18" t="inlineStr">
        <is>
          <t>Accesibilidad cognitiva y codiseño</t>
        </is>
      </c>
      <c r="B23" s="18" t="inlineStr">
        <is>
          <t>Diseño y vida independiente</t>
        </is>
      </c>
      <c r="C23" s="19" t="n">
        <v>0.7</v>
      </c>
      <c r="D23" s="18" t="inlineStr">
        <is>
          <t>Codiseño orientado a sostener la autonomía y vida independiente.</t>
        </is>
      </c>
      <c r="E23" s="18" t="inlineStr">
        <is>
          <t>INFERIDO</t>
        </is>
      </c>
    </row>
    <row r="24" ht="28" customHeight="1" s="24">
      <c r="A24" s="18" t="inlineStr">
        <is>
          <t>Acervo histórico de Ciudad Abierta y de la Escuela de Arquitectura y Diseño</t>
        </is>
      </c>
      <c r="B24" s="18" t="inlineStr">
        <is>
          <t>Travesías y geopoética</t>
        </is>
      </c>
      <c r="C24" s="19" t="n">
        <v>0.7</v>
      </c>
      <c r="D24" s="18" t="inlineStr">
        <is>
          <t>Travesías son parte central del acervo histórico de la Escuela.</t>
        </is>
      </c>
      <c r="E24" s="18" t="inlineStr">
        <is>
          <t>INFERIDO</t>
        </is>
      </c>
    </row>
    <row r="25" ht="42" customHeight="1" s="24">
      <c r="A25" s="18" t="inlineStr">
        <is>
          <t>Arquitectura como medio didáctico</t>
        </is>
      </c>
      <c r="B25" s="18" t="inlineStr">
        <is>
          <t>Diseño de espacios educativos</t>
        </is>
      </c>
      <c r="C25" s="19" t="n">
        <v>0.7</v>
      </c>
      <c r="D25" s="18" t="inlineStr">
        <is>
          <t>Arquitectura como medio didáctico se realiza en el diseño de espacios educativos.</t>
        </is>
      </c>
      <c r="E25" s="18" t="inlineStr">
        <is>
          <t>INFERIDO</t>
        </is>
      </c>
    </row>
    <row r="26" ht="28" customHeight="1" s="24">
      <c r="A26" s="18" t="inlineStr">
        <is>
          <t>Diseño arquitectónico</t>
        </is>
      </c>
      <c r="B26" s="18" t="inlineStr">
        <is>
          <t>El vacío arquitectónico</t>
        </is>
      </c>
      <c r="C26" s="19" t="n">
        <v>0.7</v>
      </c>
      <c r="D26" s="18" t="inlineStr">
        <is>
          <t>El vacío arquitectónico es categoría central del diseño arquitectónico.</t>
        </is>
      </c>
      <c r="E26" s="18" t="inlineStr">
        <is>
          <t>INFERIDO</t>
        </is>
      </c>
    </row>
    <row r="27" ht="28" customHeight="1" s="24">
      <c r="A27" s="18" t="inlineStr">
        <is>
          <t>El vacío arquitectónico</t>
        </is>
      </c>
      <c r="B27" s="18" t="inlineStr">
        <is>
          <t>Teoría e historia de la arquitectura</t>
        </is>
      </c>
      <c r="C27" s="19" t="n">
        <v>0.7</v>
      </c>
      <c r="D27" s="18" t="inlineStr">
        <is>
          <t>El vacío es categoría teórico-arquitectónica de raíz e[ad].</t>
        </is>
      </c>
      <c r="E27" s="18" t="inlineStr">
        <is>
          <t>INFERIDO</t>
        </is>
      </c>
    </row>
    <row r="28" ht="28" customHeight="1" s="24">
      <c r="A28" s="18" t="inlineStr">
        <is>
          <t>Perspectivas decoloniales</t>
        </is>
      </c>
      <c r="B28" s="18" t="inlineStr">
        <is>
          <t>Prácticas colectivas</t>
        </is>
      </c>
      <c r="C28" s="19" t="n">
        <v>0.7</v>
      </c>
      <c r="D28" s="18" t="inlineStr">
        <is>
          <t>Prácticas colectivas son una vía decolonial de producción del habitar.</t>
        </is>
      </c>
      <c r="E28" s="18" t="inlineStr">
        <is>
          <t>INFERIDO</t>
        </is>
      </c>
    </row>
    <row r="29" ht="28" customHeight="1" s="24">
      <c r="A29" s="18" t="inlineStr">
        <is>
          <t>Accesibilidad cognitiva y codiseño</t>
        </is>
      </c>
      <c r="B29" s="18" t="inlineStr">
        <is>
          <t>Diseño de interacción, servicios y experiencia de usuario</t>
        </is>
      </c>
      <c r="C29" s="19" t="n">
        <v>0.65</v>
      </c>
      <c r="D29" s="18" t="inlineStr">
        <is>
          <t>Codiseño es práctica de diseño de interacción centrado en personas.</t>
        </is>
      </c>
      <c r="E29" s="18" t="inlineStr">
        <is>
          <t>INFERIDO</t>
        </is>
      </c>
    </row>
    <row r="30" ht="28" customHeight="1" s="24">
      <c r="A30" s="18" t="inlineStr">
        <is>
          <t>Accesibilidad e inclusión</t>
        </is>
      </c>
      <c r="B30" s="18" t="inlineStr">
        <is>
          <t>Comunicación aumentativa y alternativa</t>
        </is>
      </c>
      <c r="C30" s="19" t="n">
        <v>0.65</v>
      </c>
      <c r="D30" s="18" t="inlineStr">
        <is>
          <t>CAA es la dimensión comunicacional de la inclusión.</t>
        </is>
      </c>
      <c r="E30" s="18" t="inlineStr">
        <is>
          <t>INFERIDO</t>
        </is>
      </c>
    </row>
    <row r="31" ht="28" customHeight="1" s="24">
      <c r="A31" s="18" t="inlineStr">
        <is>
          <t>Acervo histórico de Ciudad Abierta y de la Escuela de Arquitectura y Diseño</t>
        </is>
      </c>
      <c r="B31" s="18" t="inlineStr">
        <is>
          <t>El sentido de la hospitalidad</t>
        </is>
      </c>
      <c r="C31" s="19" t="n">
        <v>0.65</v>
      </c>
      <c r="D31" s="18" t="inlineStr">
        <is>
          <t>La hospitalidad es categoría central del acervo de la EAD.</t>
        </is>
      </c>
      <c r="E31" s="18" t="inlineStr">
        <is>
          <t>INFERIDO</t>
        </is>
      </c>
    </row>
    <row r="32" ht="28" customHeight="1" s="24">
      <c r="A32" s="18" t="inlineStr">
        <is>
          <t>Acervo histórico de Ciudad Abierta y de la Escuela de Arquitectura y Diseño</t>
        </is>
      </c>
      <c r="B32" s="18" t="inlineStr">
        <is>
          <t>El vacío arquitectónico</t>
        </is>
      </c>
      <c r="C32" s="19" t="n">
        <v>0.65</v>
      </c>
      <c r="D32" s="18" t="inlineStr">
        <is>
          <t>El vacío arquitectónico es concepto formado en el acervo de la Escuela.</t>
        </is>
      </c>
      <c r="E32" s="18" t="inlineStr">
        <is>
          <t>INFERIDO</t>
        </is>
      </c>
    </row>
    <row r="33" ht="42" customHeight="1" s="24">
      <c r="A33" s="18" t="inlineStr">
        <is>
          <t>Comunicación aumentativa y alternativa</t>
        </is>
      </c>
      <c r="B33" s="18" t="inlineStr">
        <is>
          <t>Diseño y vida independiente</t>
        </is>
      </c>
      <c r="C33" s="19" t="n">
        <v>0.65</v>
      </c>
      <c r="D33" s="18" t="inlineStr">
        <is>
          <t>CAA es condición de comunicación para la vida independiente.</t>
        </is>
      </c>
      <c r="E33" s="18" t="inlineStr">
        <is>
          <t>INFERIDO</t>
        </is>
      </c>
    </row>
    <row r="34" ht="28" customHeight="1" s="24">
      <c r="A34" s="18" t="inlineStr">
        <is>
          <t>Diseño arquitectónico</t>
        </is>
      </c>
      <c r="B34" s="18" t="inlineStr">
        <is>
          <t>Proyecto de arquitectura escolar</t>
        </is>
      </c>
      <c r="C34" s="19" t="n">
        <v>0.65</v>
      </c>
      <c r="D34" s="18" t="inlineStr">
        <is>
          <t>Proyecto escolar es un caso de diseño arquitectónico.</t>
        </is>
      </c>
      <c r="E34" s="18" t="inlineStr">
        <is>
          <t>INFERIDO</t>
        </is>
      </c>
    </row>
    <row r="35" ht="28" customHeight="1" s="24">
      <c r="A35" s="18" t="inlineStr">
        <is>
          <t>Diseño arquitectónico</t>
        </is>
      </c>
      <c r="B35" s="18" t="inlineStr">
        <is>
          <t>Teoría e historia de la arquitectura</t>
        </is>
      </c>
      <c r="C35" s="19" t="n">
        <v>0.65</v>
      </c>
      <c r="D35" s="18" t="inlineStr">
        <is>
          <t>Teoría e historia fundamentan el diseño arquitectónico.</t>
        </is>
      </c>
      <c r="E35" s="18" t="inlineStr">
        <is>
          <t>INFERIDO</t>
        </is>
      </c>
    </row>
    <row r="36" ht="42" customHeight="1" s="24">
      <c r="A36" s="18" t="inlineStr">
        <is>
          <t>Diseño de espacios educativos</t>
        </is>
      </c>
      <c r="B36" s="18" t="inlineStr">
        <is>
          <t>Espacios de estimulación temprana</t>
        </is>
      </c>
      <c r="C36" s="19" t="n">
        <v>0.65</v>
      </c>
      <c r="D36" s="18" t="inlineStr">
        <is>
          <t>Estimulación temprana requiere diseño específico de espacio.</t>
        </is>
      </c>
      <c r="E36" s="18" t="inlineStr">
        <is>
          <t>INFERIDO</t>
        </is>
      </c>
    </row>
    <row r="37" ht="28" customHeight="1" s="24">
      <c r="A37" s="18" t="inlineStr">
        <is>
          <t>Espacios de aprendizaje en contextos vulnerables</t>
        </is>
      </c>
      <c r="B37" s="18" t="inlineStr">
        <is>
          <t>Espacios de estimulación temprana</t>
        </is>
      </c>
      <c r="C37" s="19" t="n">
        <v>0.65</v>
      </c>
      <c r="D37" s="18" t="inlineStr">
        <is>
          <t>Estimulación temprana ocurre frecuentemente en contextos vulnerables.</t>
        </is>
      </c>
      <c r="E37" s="18" t="inlineStr">
        <is>
          <t>INFERIDO</t>
        </is>
      </c>
    </row>
    <row r="38" ht="42" customHeight="1" s="24">
      <c r="A38" s="18" t="inlineStr">
        <is>
          <t>Espacios de estimulación temprana</t>
        </is>
      </c>
      <c r="B38" s="18" t="inlineStr">
        <is>
          <t>Espacios educativos en contextos vulnerables</t>
        </is>
      </c>
      <c r="C38" s="19" t="n">
        <v>0.65</v>
      </c>
      <c r="D38" s="18" t="inlineStr">
        <is>
          <t>Estimulación temprana suele desarrollarse en contextos vulnerables.</t>
        </is>
      </c>
      <c r="E38" s="18" t="inlineStr">
        <is>
          <t>INFERIDO</t>
        </is>
      </c>
    </row>
    <row r="39" ht="56" customHeight="1" s="24">
      <c r="A39" s="18" t="inlineStr">
        <is>
          <t>Espacios educativos en contextos vulnerables</t>
        </is>
      </c>
      <c r="B39" s="18" t="inlineStr">
        <is>
          <t>Programas educativos y espacios escolares</t>
        </is>
      </c>
      <c r="C39" s="19" t="n">
        <v>0.65</v>
      </c>
      <c r="D39" s="18" t="inlineStr">
        <is>
          <t>Programas educativos definen los espacios para contextos vulnerables.</t>
        </is>
      </c>
      <c r="E39" s="18" t="inlineStr">
        <is>
          <t>INFERIDO</t>
        </is>
      </c>
    </row>
    <row r="40" ht="42" customHeight="1" s="24">
      <c r="A40" s="18" t="inlineStr">
        <is>
          <t>Formación en pensamiento y acción creativa</t>
        </is>
      </c>
      <c r="B40" s="18" t="inlineStr">
        <is>
          <t>Métodos de diseño</t>
        </is>
      </c>
      <c r="C40" s="19" t="n">
        <v>0.65</v>
      </c>
      <c r="D40" s="18" t="inlineStr">
        <is>
          <t>Métodos de diseño formalizan el pensamiento y acción creativa.</t>
        </is>
      </c>
      <c r="E40" s="18" t="inlineStr">
        <is>
          <t>INFERIDO</t>
        </is>
      </c>
    </row>
    <row r="41" ht="28" customHeight="1" s="24">
      <c r="A41" s="18" t="inlineStr">
        <is>
          <t>Perspectivas decoloniales</t>
        </is>
      </c>
      <c r="B41" s="18" t="inlineStr">
        <is>
          <t>Travesías y geopoética</t>
        </is>
      </c>
      <c r="C41" s="19" t="n">
        <v>0.65</v>
      </c>
      <c r="D41" s="18" t="inlineStr">
        <is>
          <t>Travesías y Amereida son matriz histórica del giro decolonial e[ad].</t>
        </is>
      </c>
      <c r="E41" s="18" t="inlineStr">
        <is>
          <t>INFERIDO</t>
        </is>
      </c>
    </row>
    <row r="42" ht="28" customHeight="1" s="24">
      <c r="A42" s="18" t="inlineStr">
        <is>
          <t>Prácticas colectivas</t>
        </is>
      </c>
      <c r="B42" s="18" t="inlineStr">
        <is>
          <t>Urbanización, urbanismo y ecología política</t>
        </is>
      </c>
      <c r="C42" s="19" t="n">
        <v>0.65</v>
      </c>
      <c r="D42" s="18" t="inlineStr">
        <is>
          <t>Prácticas colectivas ocurren en y sobre la urbanización.</t>
        </is>
      </c>
      <c r="E42" s="18" t="inlineStr">
        <is>
          <t>INFERIDO</t>
        </is>
      </c>
    </row>
    <row r="43" ht="28" customHeight="1" s="24">
      <c r="A43" s="18" t="inlineStr">
        <is>
          <t>El sentido de la hospitalidad</t>
        </is>
      </c>
      <c r="B43" s="18" t="inlineStr">
        <is>
          <t>Travesías y geopoética</t>
        </is>
      </c>
      <c r="C43" s="19" t="n">
        <v>0.6</v>
      </c>
      <c r="D43" s="18" t="inlineStr">
        <is>
          <t>Hospitalidad y travesías están enlazadas en la tradición de Amereida.</t>
        </is>
      </c>
      <c r="E43" s="18" t="inlineStr">
        <is>
          <t>INFERIDO</t>
        </is>
      </c>
    </row>
    <row r="44" ht="42" customHeight="1" s="24">
      <c r="A44" s="18" t="inlineStr">
        <is>
          <t>Accesibilidad cognitiva y codiseño</t>
        </is>
      </c>
      <c r="B44" s="18" t="inlineStr">
        <is>
          <t>Espacios de estimulación temprana</t>
        </is>
      </c>
      <c r="C44" s="19" t="n">
        <v>0.55</v>
      </c>
      <c r="D44" s="18" t="inlineStr">
        <is>
          <t>Estimulación temprana opera con principios de accesibilidad cognitiva infantil.</t>
        </is>
      </c>
      <c r="E44" s="18" t="inlineStr">
        <is>
          <t>INFERIDO</t>
        </is>
      </c>
    </row>
    <row r="45" ht="42" customHeight="1" s="24">
      <c r="A45" s="18" t="inlineStr">
        <is>
          <t>Accesibilidad cognitiva y codiseño</t>
        </is>
      </c>
      <c r="B45" s="18" t="inlineStr">
        <is>
          <t>Métodos de diseño</t>
        </is>
      </c>
      <c r="C45" s="19" t="n">
        <v>0.55</v>
      </c>
      <c r="D45" s="18" t="inlineStr">
        <is>
          <t>El codiseño es un método de diseño consolidado.</t>
        </is>
      </c>
      <c r="E45" s="18" t="inlineStr">
        <is>
          <t>INFERIDO</t>
        </is>
      </c>
    </row>
    <row r="46" ht="28" customHeight="1" s="24">
      <c r="A46" s="18" t="inlineStr">
        <is>
          <t>Accesibilidad e inclusión</t>
        </is>
      </c>
      <c r="B46" s="18" t="inlineStr">
        <is>
          <t>El sentido de la hospitalidad</t>
        </is>
      </c>
      <c r="C46" s="19" t="n">
        <v>0.55</v>
      </c>
      <c r="D46" s="18" t="inlineStr">
        <is>
          <t>La hospitalidad como categoría de inclusión radical.</t>
        </is>
      </c>
      <c r="E46" s="18" t="inlineStr">
        <is>
          <t>INFERIDO</t>
        </is>
      </c>
    </row>
    <row r="47" ht="42" customHeight="1" s="24">
      <c r="A47" s="18" t="inlineStr">
        <is>
          <t>Adaptabilidad urbana ante riesgos costeros</t>
        </is>
      </c>
      <c r="B47" s="18" t="inlineStr">
        <is>
          <t>Urbanización, urbanismo y ecología política</t>
        </is>
      </c>
      <c r="C47" s="19" t="n">
        <v>0.55</v>
      </c>
      <c r="D47" s="18" t="inlineStr">
        <is>
          <t>Adaptabilidad urbana costera entra en diálogo con ecología política urbana.</t>
        </is>
      </c>
      <c r="E47" s="18" t="inlineStr">
        <is>
          <t>INFERIDO</t>
        </is>
      </c>
    </row>
    <row r="48" ht="42" customHeight="1" s="24">
      <c r="A48" s="18" t="inlineStr">
        <is>
          <t>Arquitectura como medio didáctico</t>
        </is>
      </c>
      <c r="B48" s="18" t="inlineStr">
        <is>
          <t>Programas educativos y espacios escolares</t>
        </is>
      </c>
      <c r="C48" s="19" t="n">
        <v>0.55</v>
      </c>
      <c r="D48" s="18" t="inlineStr">
        <is>
          <t>Programas educativos se articulan con el medio didáctico arquitectónico.</t>
        </is>
      </c>
      <c r="E48" s="18" t="inlineStr">
        <is>
          <t>INFERIDO</t>
        </is>
      </c>
    </row>
    <row r="49" ht="28" customHeight="1" s="24">
      <c r="A49" s="18" t="inlineStr">
        <is>
          <t>Comunicación aumentativa y alternativa</t>
        </is>
      </c>
      <c r="B49" s="18" t="inlineStr">
        <is>
          <t>Diseño de interacción, servicios y experiencia de usuario</t>
        </is>
      </c>
      <c r="C49" s="19" t="n">
        <v>0.55</v>
      </c>
      <c r="D49" s="18" t="inlineStr">
        <is>
          <t>CAA modela formas específicas de interacción.</t>
        </is>
      </c>
      <c r="E49" s="18" t="inlineStr">
        <is>
          <t>INFERIDO</t>
        </is>
      </c>
    </row>
    <row r="50" ht="28" customHeight="1" s="24">
      <c r="A50" s="18" t="inlineStr">
        <is>
          <t>Diseño arquitectónico</t>
        </is>
      </c>
      <c r="B50" s="18" t="inlineStr">
        <is>
          <t>Métodos de diseño</t>
        </is>
      </c>
      <c r="C50" s="19" t="n">
        <v>0.55</v>
      </c>
      <c r="D50" s="18" t="inlineStr">
        <is>
          <t>Métodos de diseño se aplican al diseño arquitectónico.</t>
        </is>
      </c>
      <c r="E50" s="18" t="inlineStr">
        <is>
          <t>INFERIDO</t>
        </is>
      </c>
    </row>
    <row r="51" ht="28" customHeight="1" s="24">
      <c r="A51" s="18" t="inlineStr">
        <is>
          <t>Diseño de espacios educativos</t>
        </is>
      </c>
      <c r="B51" s="18" t="inlineStr">
        <is>
          <t>Medios de aprendizaje en arquitectura y diseño</t>
        </is>
      </c>
      <c r="C51" s="19" t="n">
        <v>0.55</v>
      </c>
      <c r="D51" s="18" t="inlineStr">
        <is>
          <t>Medios de aprendizaje habitan espacios educativos.</t>
        </is>
      </c>
      <c r="E51" s="18" t="inlineStr">
        <is>
          <t>INFERIDO</t>
        </is>
      </c>
    </row>
    <row r="52" ht="28" customHeight="1" s="24">
      <c r="A52" s="18" t="inlineStr">
        <is>
          <t>Diseño de interacción, servicios y experiencia de usuario</t>
        </is>
      </c>
      <c r="B52" s="18" t="inlineStr">
        <is>
          <t>Diseño y vida independiente</t>
        </is>
      </c>
      <c r="C52" s="19" t="n">
        <v>0.55</v>
      </c>
      <c r="D52" s="18" t="inlineStr">
        <is>
          <t>Servicios y UX deben sostener la autonomía.</t>
        </is>
      </c>
      <c r="E52" s="18" t="inlineStr">
        <is>
          <t>INFERIDO</t>
        </is>
      </c>
    </row>
    <row r="53" ht="28" customHeight="1" s="24">
      <c r="A53" s="18" t="inlineStr">
        <is>
          <t>El vacío arquitectónico</t>
        </is>
      </c>
      <c r="B53" s="18" t="inlineStr">
        <is>
          <t>Travesías y geopoética</t>
        </is>
      </c>
      <c r="C53" s="19" t="n">
        <v>0.55</v>
      </c>
      <c r="D53" s="18" t="inlineStr">
        <is>
          <t>Travesías son experiencia de habitar el vacío continental.</t>
        </is>
      </c>
      <c r="E53" s="18" t="inlineStr">
        <is>
          <t>INFERIDO</t>
        </is>
      </c>
    </row>
    <row r="54" ht="28" customHeight="1" s="24">
      <c r="A54" s="18" t="inlineStr">
        <is>
          <t>Espacios de aprendizaje en contextos vulnerables</t>
        </is>
      </c>
      <c r="B54" s="18" t="inlineStr">
        <is>
          <t>Medios de aprendizaje en arquitectura y diseño</t>
        </is>
      </c>
      <c r="C54" s="19" t="n">
        <v>0.55</v>
      </c>
      <c r="D54" s="18" t="inlineStr">
        <is>
          <t>Medios de aprendizaje se ajustan a contextos vulnerables.</t>
        </is>
      </c>
      <c r="E54" s="18" t="inlineStr">
        <is>
          <t>INFERIDO</t>
        </is>
      </c>
    </row>
    <row r="55" ht="28" customHeight="1" s="24">
      <c r="A55" s="18" t="inlineStr">
        <is>
          <t>Industrias creativas e innovación social para el desarrollo local</t>
        </is>
      </c>
      <c r="B55" s="18" t="inlineStr">
        <is>
          <t>Saberes técnicos análogos</t>
        </is>
      </c>
      <c r="C55" s="19" t="n">
        <v>0.55</v>
      </c>
      <c r="D55" s="18" t="inlineStr">
        <is>
          <t>Saberes técnicos análogos sostienen industrias creativas locales.</t>
        </is>
      </c>
      <c r="E55" s="18" t="inlineStr">
        <is>
          <t>INFERIDO</t>
        </is>
      </c>
    </row>
    <row r="56" ht="28" customHeight="1" s="24">
      <c r="A56" s="18" t="inlineStr">
        <is>
          <t>Medios de aprendizaje en arquitectura y diseño</t>
        </is>
      </c>
      <c r="B56" s="18" t="inlineStr">
        <is>
          <t>Programas educativos y espacios escolares</t>
        </is>
      </c>
      <c r="C56" s="19" t="n">
        <v>0.55</v>
      </c>
      <c r="D56" s="18" t="inlineStr">
        <is>
          <t>Medios de aprendizaje son herramientas operativas de los programas educativos.</t>
        </is>
      </c>
      <c r="E56" s="18" t="inlineStr">
        <is>
          <t>INFERIDO</t>
        </is>
      </c>
    </row>
    <row r="57" ht="28" customHeight="1" s="24">
      <c r="A57" s="18" t="inlineStr">
        <is>
          <t>Métodos de diseño</t>
        </is>
      </c>
      <c r="B57" s="18" t="inlineStr">
        <is>
          <t>Saberes técnicos análogos</t>
        </is>
      </c>
      <c r="C57" s="19" t="n">
        <v>0.55</v>
      </c>
      <c r="D57" s="18" t="inlineStr">
        <is>
          <t>Saberes técnicos análogos integran el repertorio de los métodos.</t>
        </is>
      </c>
      <c r="E57" s="18" t="inlineStr">
        <is>
          <t>INFERIDO</t>
        </is>
      </c>
    </row>
    <row r="58" ht="28" customHeight="1" s="24">
      <c r="A58" s="18" t="inlineStr">
        <is>
          <t>Prácticas colectivas</t>
        </is>
      </c>
      <c r="B58" s="18" t="inlineStr">
        <is>
          <t>Travesías y geopoética</t>
        </is>
      </c>
      <c r="C58" s="19" t="n">
        <v>0.55</v>
      </c>
      <c r="D58" s="18" t="inlineStr">
        <is>
          <t>Travesías son una práctica colectiva paradigmática.</t>
        </is>
      </c>
      <c r="E58" s="18" t="inlineStr">
        <is>
          <t>INFERIDO</t>
        </is>
      </c>
    </row>
    <row r="59" ht="28" customHeight="1" s="24">
      <c r="A59" s="18" t="inlineStr">
        <is>
          <t>Urbanización, urbanismo y ecología política</t>
        </is>
      </c>
      <c r="B59" s="18" t="inlineStr">
        <is>
          <t>Vulnerabilidad física de asentamientos costeros</t>
        </is>
      </c>
      <c r="C59" s="19" t="n">
        <v>0.55</v>
      </c>
      <c r="D59" s="18" t="inlineStr">
        <is>
          <t>Vulnerabilidad costera es leída desde la urbanización política.</t>
        </is>
      </c>
      <c r="E59" s="18" t="inlineStr">
        <is>
          <t>INFERIDO</t>
        </is>
      </c>
    </row>
    <row r="60" ht="28" customHeight="1" s="24">
      <c r="A60" s="18" t="inlineStr">
        <is>
          <t>Accesibilidad e inclusión</t>
        </is>
      </c>
      <c r="B60" s="18" t="inlineStr">
        <is>
          <t>Diseño de interacción, servicios y experiencia de usuario</t>
        </is>
      </c>
      <c r="C60" s="19" t="n">
        <v>0.5</v>
      </c>
      <c r="D60" s="18" t="inlineStr">
        <is>
          <t>Inclusión cruza la práctica de servicios y UX.</t>
        </is>
      </c>
      <c r="E60" s="18" t="inlineStr">
        <is>
          <t>INFERIDO</t>
        </is>
      </c>
    </row>
    <row r="61" ht="28" customHeight="1" s="24">
      <c r="A61" s="18" t="inlineStr">
        <is>
          <t>Accesibilidad e inclusión</t>
        </is>
      </c>
      <c r="B61" s="18" t="inlineStr">
        <is>
          <t>Espacios de aprendizaje en contextos vulnerables</t>
        </is>
      </c>
      <c r="C61" s="19" t="n">
        <v>0.5</v>
      </c>
      <c r="D61" s="18" t="inlineStr">
        <is>
          <t>Aprendizaje en contextos vulnerables es inclusión educativa.</t>
        </is>
      </c>
      <c r="E61" s="18" t="inlineStr">
        <is>
          <t>INFERIDO</t>
        </is>
      </c>
    </row>
    <row r="62" ht="28" customHeight="1" s="24">
      <c r="A62" s="18" t="inlineStr">
        <is>
          <t>Accesibilidad e inclusión</t>
        </is>
      </c>
      <c r="B62" s="18" t="inlineStr">
        <is>
          <t>Espacios educativos en contextos vulnerables</t>
        </is>
      </c>
      <c r="C62" s="19" t="n">
        <v>0.5</v>
      </c>
      <c r="D62" s="18" t="inlineStr">
        <is>
          <t>Espacios educativos vulnerables como inclusión espacial.</t>
        </is>
      </c>
      <c r="E62" s="18" t="inlineStr">
        <is>
          <t>INFERIDO</t>
        </is>
      </c>
    </row>
    <row r="63" ht="28" customHeight="1" s="24">
      <c r="A63" s="18" t="inlineStr">
        <is>
          <t>Acervo histórico de Ciudad Abierta y de la Escuela de Arquitectura y Diseño</t>
        </is>
      </c>
      <c r="B63" s="18" t="inlineStr">
        <is>
          <t>Saberes técnicos análogos</t>
        </is>
      </c>
      <c r="C63" s="19" t="n">
        <v>0.5</v>
      </c>
      <c r="D63" s="18" t="inlineStr">
        <is>
          <t>Saberes técnicos análogos están heredados desde el acervo institucional.</t>
        </is>
      </c>
      <c r="E63" s="18" t="inlineStr">
        <is>
          <t>INFERIDO</t>
        </is>
      </c>
    </row>
    <row r="64" ht="42" customHeight="1" s="24">
      <c r="A64" s="18" t="inlineStr">
        <is>
          <t>Adaptación formal ante desastres</t>
        </is>
      </c>
      <c r="B64" s="18" t="inlineStr">
        <is>
          <t>Diseño arquitectónico</t>
        </is>
      </c>
      <c r="C64" s="19" t="n">
        <v>0.5</v>
      </c>
      <c r="D64" s="18" t="inlineStr">
        <is>
          <t>Adaptación formal ante desastres es una respuesta del diseño arquitectónico.</t>
        </is>
      </c>
      <c r="E64" s="18" t="inlineStr">
        <is>
          <t>INFERIDO</t>
        </is>
      </c>
    </row>
    <row r="65" ht="42" customHeight="1" s="24">
      <c r="A65" s="18" t="inlineStr">
        <is>
          <t>Adaptación formal ante desastres</t>
        </is>
      </c>
      <c r="B65" s="18" t="inlineStr">
        <is>
          <t>Urbanización, urbanismo y ecología política</t>
        </is>
      </c>
      <c r="C65" s="19" t="n">
        <v>0.5</v>
      </c>
      <c r="D65" s="18" t="inlineStr">
        <is>
          <t>Desastres están entrelazados con condiciones políticas y ecológicas.</t>
        </is>
      </c>
      <c r="E65" s="18" t="inlineStr">
        <is>
          <t>INFERIDO</t>
        </is>
      </c>
    </row>
    <row r="66" ht="28" customHeight="1" s="24">
      <c r="A66" s="18" t="inlineStr">
        <is>
          <t>Arquitectura como medio didáctico</t>
        </is>
      </c>
      <c r="B66" s="18" t="inlineStr">
        <is>
          <t>Espacios de aprendizaje en contextos vulnerables</t>
        </is>
      </c>
      <c r="C66" s="19" t="n">
        <v>0.5</v>
      </c>
      <c r="D66" s="18" t="inlineStr">
        <is>
          <t>El medio didáctico tiene aplicación en aprendizajes vulnerables.</t>
        </is>
      </c>
      <c r="E66" s="18" t="inlineStr">
        <is>
          <t>INFERIDO</t>
        </is>
      </c>
    </row>
    <row r="67" ht="28" customHeight="1" s="24">
      <c r="A67" s="18" t="inlineStr">
        <is>
          <t>Diseño arquitectónico</t>
        </is>
      </c>
      <c r="B67" s="18" t="inlineStr">
        <is>
          <t>Travesías y geopoética</t>
        </is>
      </c>
      <c r="C67" s="19" t="n">
        <v>0.5</v>
      </c>
      <c r="D67" s="18" t="inlineStr">
        <is>
          <t>Travesías han sido escenario de proyectos arquitectónicos.</t>
        </is>
      </c>
      <c r="E67" s="18" t="inlineStr">
        <is>
          <t>INFERIDO</t>
        </is>
      </c>
    </row>
    <row r="68" ht="28" customHeight="1" s="24">
      <c r="A68" s="18" t="inlineStr">
        <is>
          <t>Diseño de interacción, servicios y experiencia de usuario</t>
        </is>
      </c>
      <c r="B68" s="18" t="inlineStr">
        <is>
          <t>Métodos de diseño</t>
        </is>
      </c>
      <c r="C68" s="19" t="n">
        <v>0.5</v>
      </c>
      <c r="D68" s="18" t="inlineStr">
        <is>
          <t>Métodos de diseño se aplican intensivamente al diseño de interacción.</t>
        </is>
      </c>
      <c r="E68" s="18" t="inlineStr">
        <is>
          <t>INFERIDO</t>
        </is>
      </c>
    </row>
    <row r="69" ht="28" customHeight="1" s="24">
      <c r="A69" s="18" t="inlineStr">
        <is>
          <t>El sentido de la hospitalidad</t>
        </is>
      </c>
      <c r="B69" s="18" t="inlineStr">
        <is>
          <t>El vacío arquitectónico</t>
        </is>
      </c>
      <c r="C69" s="19" t="n">
        <v>0.5</v>
      </c>
      <c r="D69" s="18" t="inlineStr">
        <is>
          <t>Hospitalidad y vacío comparten registro fenomenológico de la EAD.</t>
        </is>
      </c>
      <c r="E69" s="18" t="inlineStr">
        <is>
          <t>INFERIDO</t>
        </is>
      </c>
    </row>
    <row r="70" ht="28" customHeight="1" s="24">
      <c r="A70" s="18" t="inlineStr">
        <is>
          <t>Formación en pensamiento y acción creativa</t>
        </is>
      </c>
      <c r="B70" s="18" t="inlineStr">
        <is>
          <t>Medios de aprendizaje en arquitectura y diseño</t>
        </is>
      </c>
      <c r="C70" s="19" t="n">
        <v>0.5</v>
      </c>
      <c r="D70" s="18" t="inlineStr">
        <is>
          <t>Pensamiento creativo se transfiere por medios de aprendizaje específicos.</t>
        </is>
      </c>
      <c r="E70" s="18" t="inlineStr">
        <is>
          <t>INFERIDO</t>
        </is>
      </c>
    </row>
    <row r="71" ht="42" customHeight="1" s="24">
      <c r="A71" s="18" t="inlineStr">
        <is>
          <t>Formación en pensamiento y acción creativa</t>
        </is>
      </c>
      <c r="B71" s="18" t="inlineStr">
        <is>
          <t>Saberes técnicos análogos</t>
        </is>
      </c>
      <c r="C71" s="19" t="n">
        <v>0.5</v>
      </c>
      <c r="D71" s="18" t="inlineStr">
        <is>
          <t>Saberes técnicos análogos sostienen la formación creativa.</t>
        </is>
      </c>
      <c r="E71" s="18" t="inlineStr">
        <is>
          <t>INFERIDO</t>
        </is>
      </c>
    </row>
    <row r="72" ht="28" customHeight="1" s="24">
      <c r="A72" s="18" t="inlineStr">
        <is>
          <t>Industrias creativas e innovación social para el desarrollo local</t>
        </is>
      </c>
      <c r="B72" s="18" t="inlineStr">
        <is>
          <t>Prácticas colectivas</t>
        </is>
      </c>
      <c r="C72" s="19" t="n">
        <v>0.5</v>
      </c>
      <c r="D72" s="18" t="inlineStr">
        <is>
          <t>Innovación social se entrelaza con prácticas colectivas.</t>
        </is>
      </c>
      <c r="E72" s="18" t="inlineStr">
        <is>
          <t>INFERIDO</t>
        </is>
      </c>
    </row>
    <row r="73" ht="42" customHeight="1" s="24">
      <c r="A73" s="18" t="inlineStr">
        <is>
          <t>Teoría e historia de la arquitectura</t>
        </is>
      </c>
      <c r="B73" s="18" t="inlineStr">
        <is>
          <t>Travesías y geopoética</t>
        </is>
      </c>
      <c r="C73" s="19" t="n">
        <v>0.5</v>
      </c>
      <c r="D73" s="18" t="inlineStr">
        <is>
          <t>Travesías como objeto de teoría e historia de la arquitectura.</t>
        </is>
      </c>
      <c r="E73" s="18" t="inlineStr">
        <is>
          <t>INFERIDO</t>
        </is>
      </c>
    </row>
    <row r="74" ht="28" customHeight="1" s="24">
      <c r="A74" s="18" t="inlineStr">
        <is>
          <t>Accesibilidad e inclusión</t>
        </is>
      </c>
      <c r="B74" s="18" t="inlineStr">
        <is>
          <t>Perspectivas decoloniales</t>
        </is>
      </c>
      <c r="C74" s="19" t="n">
        <v>0.45</v>
      </c>
      <c r="D74" s="18" t="inlineStr">
        <is>
          <t>Decolonialidad amplía la inclusión a la diferencia cultural.</t>
        </is>
      </c>
      <c r="E74" s="18" t="inlineStr">
        <is>
          <t>INFERIDO</t>
        </is>
      </c>
    </row>
    <row r="75" ht="28" customHeight="1" s="24">
      <c r="A75" s="18" t="inlineStr">
        <is>
          <t>Acervo histórico de Ciudad Abierta y de la Escuela de Arquitectura y Diseño</t>
        </is>
      </c>
      <c r="B75" s="18" t="inlineStr">
        <is>
          <t>Diseño arquitectónico</t>
        </is>
      </c>
      <c r="C75" s="19" t="n">
        <v>0.45</v>
      </c>
      <c r="D75" s="18" t="inlineStr">
        <is>
          <t>Acervo histórico ilumina la comprensión del diseño arquitectónico.</t>
        </is>
      </c>
      <c r="E75" s="18" t="inlineStr">
        <is>
          <t>INFERIDO</t>
        </is>
      </c>
    </row>
    <row r="76" ht="42" customHeight="1" s="24">
      <c r="A76" s="18" t="inlineStr">
        <is>
          <t>Arquitectura como medio didáctico</t>
        </is>
      </c>
      <c r="B76" s="18" t="inlineStr">
        <is>
          <t>Formación en pensamiento y acción creativa</t>
        </is>
      </c>
      <c r="C76" s="19" t="n">
        <v>0.45</v>
      </c>
      <c r="D76" s="18" t="inlineStr">
        <is>
          <t>Pensamiento creativo se forma con la obra como medio didáctico.</t>
        </is>
      </c>
      <c r="E76" s="18" t="inlineStr">
        <is>
          <t>INFERIDO</t>
        </is>
      </c>
    </row>
    <row r="77" ht="42" customHeight="1" s="24">
      <c r="A77" s="18" t="inlineStr">
        <is>
          <t>Arquitectura como medio didáctico</t>
        </is>
      </c>
      <c r="B77" s="18" t="inlineStr">
        <is>
          <t>Teoría e historia de la arquitectura</t>
        </is>
      </c>
      <c r="C77" s="19" t="n">
        <v>0.45</v>
      </c>
      <c r="D77" s="18" t="inlineStr">
        <is>
          <t>Teoría arquitectónica fundamenta la lectura didáctica de la obra.</t>
        </is>
      </c>
      <c r="E77" s="18" t="inlineStr">
        <is>
          <t>INFERIDO</t>
        </is>
      </c>
    </row>
    <row r="78" ht="28" customHeight="1" s="24">
      <c r="A78" s="18" t="inlineStr">
        <is>
          <t>Diseño y vida independiente</t>
        </is>
      </c>
      <c r="B78" s="18" t="inlineStr">
        <is>
          <t>El sentido de la hospitalidad</t>
        </is>
      </c>
      <c r="C78" s="19" t="n">
        <v>0.45</v>
      </c>
      <c r="D78" s="18" t="inlineStr">
        <is>
          <t>Hospitalidad como condición de la vida con otros.</t>
        </is>
      </c>
      <c r="E78" s="18" t="inlineStr">
        <is>
          <t>INFERIDO</t>
        </is>
      </c>
    </row>
    <row r="79" ht="28" customHeight="1" s="24">
      <c r="A79" s="18" t="inlineStr">
        <is>
          <t>El sentido de la hospitalidad</t>
        </is>
      </c>
      <c r="B79" s="18" t="inlineStr">
        <is>
          <t>Prácticas colectivas</t>
        </is>
      </c>
      <c r="C79" s="19" t="n">
        <v>0.45</v>
      </c>
      <c r="D79" s="18" t="inlineStr">
        <is>
          <t>Hospitalidad es condición de las prácticas colectivas.</t>
        </is>
      </c>
      <c r="E79" s="18" t="inlineStr">
        <is>
          <t>INFERIDO</t>
        </is>
      </c>
    </row>
    <row r="80" ht="28" customHeight="1" s="24">
      <c r="A80" s="18" t="inlineStr">
        <is>
          <t>Formación en pensamiento y acción creativa</t>
        </is>
      </c>
      <c r="B80" s="18" t="inlineStr">
        <is>
          <t>Transferencia de medios tecnológicos con aplicación al emprendimiento local</t>
        </is>
      </c>
      <c r="C80" s="19" t="n">
        <v>0.45</v>
      </c>
      <c r="D80" s="18" t="inlineStr">
        <is>
          <t>Transferencia tecnológica encuentra cauce en formación creativa.</t>
        </is>
      </c>
      <c r="E80" s="18" t="inlineStr">
        <is>
          <t>INFERIDO</t>
        </is>
      </c>
    </row>
    <row r="81" ht="28" customHeight="1" s="24">
      <c r="A81" s="18" t="inlineStr">
        <is>
          <t>Industrias creativas e innovación social para el desarrollo local</t>
        </is>
      </c>
      <c r="B81" s="18" t="inlineStr">
        <is>
          <t>Métodos de diseño</t>
        </is>
      </c>
      <c r="C81" s="19" t="n">
        <v>0.45</v>
      </c>
      <c r="D81" s="18" t="inlineStr">
        <is>
          <t>Métodos de diseño habilitan la innovación social.</t>
        </is>
      </c>
      <c r="E81" s="18" t="inlineStr">
        <is>
          <t>INFERIDO</t>
        </is>
      </c>
    </row>
    <row r="82" ht="42" customHeight="1" s="24">
      <c r="A82" s="18" t="inlineStr">
        <is>
          <t>Accesibilidad cognitiva y codiseño</t>
        </is>
      </c>
      <c r="B82" s="18" t="inlineStr">
        <is>
          <t>Diseño de espacios educativos</t>
        </is>
      </c>
      <c r="C82" s="19" t="n">
        <v>0.4</v>
      </c>
      <c r="D82" s="18" t="inlineStr">
        <is>
          <t>Bridge: accesibilidad cognitiva tiene aplicación clara en espacios educativos.</t>
        </is>
      </c>
      <c r="E82" s="18" t="inlineStr">
        <is>
          <t>INFERIDO</t>
        </is>
      </c>
    </row>
    <row r="83" ht="28" customHeight="1" s="24">
      <c r="A83" s="18" t="inlineStr">
        <is>
          <t>Acervo histórico de Ciudad Abierta y de la Escuela de Arquitectura y Diseño</t>
        </is>
      </c>
      <c r="B83" s="18" t="inlineStr">
        <is>
          <t>Medios de aprendizaje en arquitectura y diseño</t>
        </is>
      </c>
      <c r="C83" s="19" t="n">
        <v>0.4</v>
      </c>
      <c r="D83" s="18" t="inlineStr">
        <is>
          <t>Medios de aprendizaje pueden anclarse en el acervo de la Escuela.</t>
        </is>
      </c>
      <c r="E83" s="18" t="inlineStr">
        <is>
          <t>INFERIDO</t>
        </is>
      </c>
    </row>
    <row r="84" ht="28" customHeight="1" s="24">
      <c r="A84" s="18" t="inlineStr">
        <is>
          <t>Acervo histórico de Ciudad Abierta y de la Escuela de Arquitectura y Diseño</t>
        </is>
      </c>
      <c r="B84" s="18" t="inlineStr">
        <is>
          <t>Perspectivas decoloniales</t>
        </is>
      </c>
      <c r="C84" s="19" t="n">
        <v>0.4</v>
      </c>
      <c r="D84" s="18" t="inlineStr">
        <is>
          <t>Decolonialidad entra en diálogo con la lectura americana del acervo.</t>
        </is>
      </c>
      <c r="E84" s="18" t="inlineStr">
        <is>
          <t>INFERIDO</t>
        </is>
      </c>
    </row>
    <row r="85" ht="28" customHeight="1" s="24">
      <c r="A85" s="18" t="inlineStr">
        <is>
          <t>Diseño arquitectónico</t>
        </is>
      </c>
      <c r="B85" s="18" t="inlineStr">
        <is>
          <t>Vulnerabilidad física de asentamientos costeros</t>
        </is>
      </c>
      <c r="C85" s="19" t="n">
        <v>0.4</v>
      </c>
      <c r="D85" s="18" t="inlineStr">
        <is>
          <t>Diseño arquitectónico se confronta con vulnerabilidad costera en proyectos.</t>
        </is>
      </c>
      <c r="E85" s="18" t="inlineStr">
        <is>
          <t>INFERIDO</t>
        </is>
      </c>
    </row>
    <row r="86" ht="28" customHeight="1" s="24">
      <c r="A86" s="18" t="inlineStr">
        <is>
          <t>Diseño y vida independiente</t>
        </is>
      </c>
      <c r="B86" s="18" t="inlineStr">
        <is>
          <t>Industrias creativas e innovación social para el desarrollo local</t>
        </is>
      </c>
      <c r="C86" s="19" t="n">
        <v>0.4</v>
      </c>
      <c r="D86" s="18" t="inlineStr">
        <is>
          <t>Innovación social puede orientarse a sistemas para la vida independiente.</t>
        </is>
      </c>
      <c r="E86" s="18" t="inlineStr">
        <is>
          <t>INFERIDO</t>
        </is>
      </c>
    </row>
    <row r="87" ht="28" customHeight="1" s="24">
      <c r="A87" s="18" t="inlineStr">
        <is>
          <t>Formación en pensamiento y acción creativa</t>
        </is>
      </c>
      <c r="B87" s="18" t="inlineStr">
        <is>
          <t>Industrias creativas e innovación social para el desarrollo local</t>
        </is>
      </c>
      <c r="C87" s="19" t="n">
        <v>0.4</v>
      </c>
      <c r="D87" s="18" t="inlineStr">
        <is>
          <t>Pensamiento y acción creativa puede orientar la innovación social.</t>
        </is>
      </c>
      <c r="E87" s="18" t="inlineStr">
        <is>
          <t>INFERIDO</t>
        </is>
      </c>
    </row>
    <row r="88" ht="28" customHeight="1" s="24">
      <c r="A88" s="18" t="inlineStr">
        <is>
          <t>Industrias creativas e innovación social para el desarrollo local</t>
        </is>
      </c>
      <c r="B88" s="18" t="inlineStr">
        <is>
          <t>Urbanización, urbanismo y ecología política</t>
        </is>
      </c>
      <c r="C88" s="19" t="n">
        <v>0.4</v>
      </c>
      <c r="D88" s="18" t="inlineStr">
        <is>
          <t>Innovación local entra en diálogo con la urbanización política.</t>
        </is>
      </c>
      <c r="E88" s="18" t="inlineStr">
        <is>
          <t>INFERIDO</t>
        </is>
      </c>
    </row>
    <row r="89" ht="28" customHeight="1" s="24">
      <c r="A89" s="18" t="inlineStr">
        <is>
          <t>Métodos de diseño</t>
        </is>
      </c>
      <c r="B89" s="18" t="inlineStr">
        <is>
          <t>Transferencia de medios tecnológicos con aplicación al emprendimiento local</t>
        </is>
      </c>
      <c r="C89" s="19" t="n">
        <v>0.4</v>
      </c>
      <c r="D89" s="18" t="inlineStr">
        <is>
          <t>Transferencia tecnológica usa métodos de diseño formalizados.</t>
        </is>
      </c>
      <c r="E89" s="18" t="inlineStr">
        <is>
          <t>INFERIDO</t>
        </is>
      </c>
    </row>
    <row r="90" ht="42" customHeight="1" s="24">
      <c r="A90" s="18" t="inlineStr">
        <is>
          <t>Proyecto de arquitectura escolar</t>
        </is>
      </c>
      <c r="B90" s="18" t="inlineStr">
        <is>
          <t>Teoría e historia de la arquitectura</t>
        </is>
      </c>
      <c r="C90" s="19" t="n">
        <v>0.4</v>
      </c>
      <c r="D90" s="18" t="inlineStr">
        <is>
          <t>El proyecto escolar tiene una historia y teoría disciplinar.</t>
        </is>
      </c>
      <c r="E90" s="18" t="inlineStr">
        <is>
          <t>INFERIDO</t>
        </is>
      </c>
    </row>
  </sheetData>
  <autoFilter ref="A4:G90"/>
  <mergeCells count="2">
    <mergeCell ref="A2:G2"/>
    <mergeCell ref="A1:G1"/>
  </mergeCells>
  <dataValidations count="2">
    <dataValidation sqref="G5:G90" showDropDown="0" showInputMessage="0" showErrorMessage="0" allowBlank="0" type="list">
      <formula1>"INFERIDO,CONFIRMADO,AJUSTADO,DESCARTADO"</formula1>
    </dataValidation>
    <dataValidation sqref="A5:B505" showDropDown="0" showInputMessage="0" showErrorMessage="1" allowBlank="1" errorTitle="Nombre no válido" error="El valor debe coincidir con un nombre existente en la hoja correspondiente. Usa el menú desplegable para elegir uno." type="list">
      <formula1>SublineaNombres</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56"/>
  <sheetViews>
    <sheetView workbookViewId="0">
      <selection activeCell="A1" sqref="A1"/>
    </sheetView>
  </sheetViews>
  <sheetFormatPr baseColWidth="8" defaultRowHeight="15"/>
  <cols>
    <col width="9" customWidth="1" style="24" min="1" max="1"/>
    <col width="6" customWidth="1" style="24" min="2" max="2"/>
    <col width="70" customWidth="1" style="24" min="3" max="3"/>
    <col width="40" customWidth="1" style="24" min="4" max="4"/>
    <col width="40" customWidth="1" style="24" min="5" max="5"/>
    <col width="26" customWidth="1" style="24" min="6" max="6"/>
    <col width="11" customWidth="1" style="24" min="7" max="7"/>
    <col width="10" customWidth="1" style="24" min="8" max="8"/>
    <col width="10" customWidth="1" style="24" min="9" max="9"/>
    <col width="8" customWidth="1" style="24" min="10" max="10"/>
    <col width="30" customWidth="1" style="24" min="11" max="11"/>
  </cols>
  <sheetData>
    <row r="1">
      <c r="A1" s="29" t="inlineStr">
        <is>
          <t>19 · Proyectos de investigación y creación (2014-2026)</t>
        </is>
      </c>
    </row>
    <row r="2">
      <c r="A2" t="inlineStr">
        <is>
          <t>Un proyecto por fila, deduplicado entre coautores. La sublínea se asignó a partir del título (confianza alta/media/baja); revisar las marcadas. Línea y polo se derivan de la sublínea. Fuente: Levantamiento de productividad 2014-2026 (planilla del equipo, oct 2026). No incluye a profesores externos.</t>
        </is>
      </c>
    </row>
    <row r="4">
      <c r="A4" s="30" t="inlineStr">
        <is>
          <t>id</t>
        </is>
      </c>
      <c r="B4" s="30" t="inlineStr">
        <is>
          <t>año</t>
        </is>
      </c>
      <c r="C4" s="30" t="inlineStr">
        <is>
          <t>título</t>
        </is>
      </c>
      <c r="D4" s="30" t="inlineStr">
        <is>
          <t>investigadores</t>
        </is>
      </c>
      <c r="E4" s="30" t="inlineStr">
        <is>
          <t>sublínea</t>
        </is>
      </c>
      <c r="F4" s="30" t="inlineStr">
        <is>
          <t>línea</t>
        </is>
      </c>
      <c r="G4" s="30" t="inlineStr">
        <is>
          <t>polo</t>
        </is>
      </c>
      <c r="H4" s="30" t="inlineStr">
        <is>
          <t>ventana_2022_2026</t>
        </is>
      </c>
      <c r="I4" s="30" t="inlineStr">
        <is>
          <t>confianza</t>
        </is>
      </c>
      <c r="J4" s="30" t="inlineStr">
        <is>
          <t>revisar</t>
        </is>
      </c>
      <c r="K4" s="30" t="inlineStr">
        <is>
          <t>notas</t>
        </is>
      </c>
    </row>
    <row r="5">
      <c r="A5" t="inlineStr">
        <is>
          <t>PRY-001</t>
        </is>
      </c>
      <c r="B5" t="n">
        <v>2014</v>
      </c>
      <c r="C5" t="inlineStr">
        <is>
          <t>Definición de parámetros espaciales para la arquitectura de la accesibilidad, aplicables en el paisaje cultural de valparaiso</t>
        </is>
      </c>
      <c r="D5" t="inlineStr">
        <is>
          <t>David Luza Cornejo</t>
        </is>
      </c>
      <c r="E5" t="inlineStr">
        <is>
          <t>Movilidad, infraestructura urbana y equipamiento</t>
        </is>
      </c>
      <c r="F5" t="inlineStr">
        <is>
          <t>Prácticas proyectuales</t>
        </is>
      </c>
      <c r="G5" t="inlineStr">
        <is>
          <t>proyectual</t>
        </is>
      </c>
      <c r="H5" t="inlineStr">
        <is>
          <t>no</t>
        </is>
      </c>
      <c r="I5" t="inlineStr">
        <is>
          <t>media</t>
        </is>
      </c>
      <c r="J5" t="inlineStr">
        <is>
          <t>sí</t>
        </is>
      </c>
    </row>
    <row r="6">
      <c r="A6" t="inlineStr">
        <is>
          <t>PRY-002</t>
        </is>
      </c>
      <c r="B6" t="n">
        <v>2014</v>
      </c>
      <c r="C6" t="inlineStr">
        <is>
          <t>Diseño colaborativo y Participación Ciudadana:Formulación de un marco teórico de Diseño a partir de dos experiencias de participación ciudadana.</t>
        </is>
      </c>
      <c r="D6" t="inlineStr">
        <is>
          <t>Michèle Wilkomirsky Uribe</t>
        </is>
      </c>
      <c r="E6" t="inlineStr">
        <is>
          <t>Diseño para la democracia y comunicación ciudadana</t>
        </is>
      </c>
      <c r="F6" t="inlineStr">
        <is>
          <t>Fundamentos disciplinares</t>
        </is>
      </c>
      <c r="G6" t="inlineStr">
        <is>
          <t>proyectual</t>
        </is>
      </c>
      <c r="H6" t="inlineStr">
        <is>
          <t>no</t>
        </is>
      </c>
      <c r="I6" t="inlineStr">
        <is>
          <t>alta</t>
        </is>
      </c>
      <c r="J6" t="inlineStr">
        <is>
          <t>no</t>
        </is>
      </c>
    </row>
    <row r="7">
      <c r="A7" t="inlineStr">
        <is>
          <t>PRY-003</t>
        </is>
      </c>
      <c r="B7" t="n">
        <v>2014</v>
      </c>
      <c r="C7" t="inlineStr">
        <is>
          <t>Hacer lugar: experiencia de obra en las comunidades locales a partir de la integración de diseño colaborativo y fabricación digital</t>
        </is>
      </c>
      <c r="D7" t="inlineStr">
        <is>
          <t>Juan Carlos Jeldes Pontio</t>
        </is>
      </c>
      <c r="E7" t="inlineStr">
        <is>
          <t>Fabricación digital, modelado paramétrico y fablabs</t>
        </is>
      </c>
      <c r="F7" t="inlineStr">
        <is>
          <t>Fundamentos disciplinares</t>
        </is>
      </c>
      <c r="G7" t="inlineStr">
        <is>
          <t>proyectual</t>
        </is>
      </c>
      <c r="H7" t="inlineStr">
        <is>
          <t>no</t>
        </is>
      </c>
      <c r="I7" t="inlineStr">
        <is>
          <t>media</t>
        </is>
      </c>
      <c r="J7" t="inlineStr">
        <is>
          <t>sí</t>
        </is>
      </c>
    </row>
    <row r="8">
      <c r="A8" t="inlineStr">
        <is>
          <t>PRY-004</t>
        </is>
      </c>
      <c r="B8" t="n">
        <v>2014</v>
      </c>
      <c r="C8" t="inlineStr">
        <is>
          <t>Laboratorio de Fabricación Digital Móvil”. Transferencia tecnológica y experimentación en medios de Fabricación Digital para el fomento a la innovación y fortalecimiento de la Industria Creativa regional, generador de desarrollo productivo en la Región de Valparaíso.</t>
        </is>
      </c>
      <c r="D8" t="inlineStr">
        <is>
          <t>Juan Carlos Jeldes Pontio</t>
        </is>
      </c>
      <c r="E8" t="inlineStr">
        <is>
          <t>Fabricación digital, modelado paramétrico y fablabs</t>
        </is>
      </c>
      <c r="F8" t="inlineStr">
        <is>
          <t>Fundamentos disciplinares</t>
        </is>
      </c>
      <c r="G8" t="inlineStr">
        <is>
          <t>proyectual</t>
        </is>
      </c>
      <c r="H8" t="inlineStr">
        <is>
          <t>no</t>
        </is>
      </c>
      <c r="I8" t="inlineStr">
        <is>
          <t>alta</t>
        </is>
      </c>
      <c r="J8" t="inlineStr">
        <is>
          <t>no</t>
        </is>
      </c>
    </row>
    <row r="9">
      <c r="A9" t="inlineStr">
        <is>
          <t>PRY-005</t>
        </is>
      </c>
      <c r="B9" t="n">
        <v>2014</v>
      </c>
      <c r="C9" t="inlineStr">
        <is>
          <t>Mobiliario Religioso de Valparaíso y su producción como expresión de sociedad</t>
        </is>
      </c>
      <c r="D9" t="inlineStr">
        <is>
          <t>Daniela Salgado Cofré</t>
        </is>
      </c>
      <c r="E9" t="inlineStr">
        <is>
          <t>Diseño social, territorial y patrimonio cultural</t>
        </is>
      </c>
      <c r="F9" t="inlineStr">
        <is>
          <t>Prácticas proyectuales</t>
        </is>
      </c>
      <c r="G9" t="inlineStr">
        <is>
          <t>proyectual</t>
        </is>
      </c>
      <c r="H9" t="inlineStr">
        <is>
          <t>no</t>
        </is>
      </c>
      <c r="I9" t="inlineStr">
        <is>
          <t>alta</t>
        </is>
      </c>
      <c r="J9" t="inlineStr">
        <is>
          <t>no</t>
        </is>
      </c>
    </row>
    <row r="10">
      <c r="A10" t="inlineStr">
        <is>
          <t>PRY-006</t>
        </is>
      </c>
      <c r="B10" t="n">
        <v>2014</v>
      </c>
      <c r="C10" t="inlineStr">
        <is>
          <t>Rediseño de las Partituras de Interacción: Formalización de un Lenguaje para la Industria de Diseño UX</t>
        </is>
      </c>
      <c r="D10" t="inlineStr">
        <is>
          <t>Herbert Spencer González, Katherine Exss Cid</t>
        </is>
      </c>
      <c r="E10" t="inlineStr">
        <is>
          <t>Diseño de interacción, servicios y experiencia de usuario</t>
        </is>
      </c>
      <c r="F10" t="inlineStr">
        <is>
          <t>Fundamentos disciplinares</t>
        </is>
      </c>
      <c r="G10" t="inlineStr">
        <is>
          <t>proyectual</t>
        </is>
      </c>
      <c r="H10" t="inlineStr">
        <is>
          <t>no</t>
        </is>
      </c>
      <c r="I10" t="inlineStr">
        <is>
          <t>alta</t>
        </is>
      </c>
      <c r="J10" t="inlineStr">
        <is>
          <t>no</t>
        </is>
      </c>
    </row>
    <row r="11">
      <c r="A11" t="inlineStr">
        <is>
          <t>PRY-007</t>
        </is>
      </c>
      <c r="B11" t="n">
        <v>2014</v>
      </c>
      <c r="C11" t="inlineStr">
        <is>
          <t>Sistema de prefabricación monomaterial liviano para viviendas económicas</t>
        </is>
      </c>
      <c r="D11" t="inlineStr">
        <is>
          <t>Erick Caro</t>
        </is>
      </c>
      <c r="E11" t="inlineStr">
        <is>
          <t>Saberes técnicos análogos</t>
        </is>
      </c>
      <c r="F11" t="inlineStr">
        <is>
          <t>Fundamentos disciplinares</t>
        </is>
      </c>
      <c r="G11" t="inlineStr">
        <is>
          <t>proyectual</t>
        </is>
      </c>
      <c r="H11" t="inlineStr">
        <is>
          <t>no</t>
        </is>
      </c>
      <c r="I11" t="inlineStr">
        <is>
          <t>baja</t>
        </is>
      </c>
      <c r="J11" t="inlineStr">
        <is>
          <t>sí</t>
        </is>
      </c>
    </row>
    <row r="12">
      <c r="A12" t="inlineStr">
        <is>
          <t>PRY-008</t>
        </is>
      </c>
      <c r="B12" t="n">
        <v>2014</v>
      </c>
      <c r="C12" t="inlineStr">
        <is>
          <t>“A pie de página”: bitácoras de Viajes y Travesías e(ad)-PUCV</t>
        </is>
      </c>
      <c r="D12" t="inlineStr">
        <is>
          <t>Sylvia Arriagada Cordero</t>
        </is>
      </c>
      <c r="E12" t="inlineStr">
        <is>
          <t>Acervo histórico de Ciudad Abierta y de la Escuela de Arquitectura y Diseño</t>
        </is>
      </c>
      <c r="F12" t="inlineStr">
        <is>
          <t>Fundamentos disciplinares</t>
        </is>
      </c>
      <c r="G12" t="inlineStr">
        <is>
          <t>teórico</t>
        </is>
      </c>
      <c r="H12" t="inlineStr">
        <is>
          <t>no</t>
        </is>
      </c>
      <c r="I12" t="inlineStr">
        <is>
          <t>alta</t>
        </is>
      </c>
      <c r="J12" t="inlineStr">
        <is>
          <t>no</t>
        </is>
      </c>
    </row>
    <row r="13">
      <c r="A13" t="inlineStr">
        <is>
          <t>PRY-009</t>
        </is>
      </c>
      <c r="B13" t="n">
        <v>2015</v>
      </c>
      <c r="C13" t="inlineStr">
        <is>
          <t>Aula ritual comunitaria: creación de la envolvente del vacío arquitectónico de un acto educativo en el territorio-escuela.</t>
        </is>
      </c>
      <c r="D13" t="inlineStr">
        <is>
          <t>Rodrigo Saavedra Venegas</t>
        </is>
      </c>
      <c r="E13" t="inlineStr">
        <is>
          <t>Espacios de aprendizaje en contextos vulnerables</t>
        </is>
      </c>
      <c r="F13" t="inlineStr">
        <is>
          <t>Fundamentos disciplinares</t>
        </is>
      </c>
      <c r="G13" t="inlineStr">
        <is>
          <t>proyectual</t>
        </is>
      </c>
      <c r="H13" t="inlineStr">
        <is>
          <t>no</t>
        </is>
      </c>
      <c r="I13" t="inlineStr">
        <is>
          <t>media</t>
        </is>
      </c>
      <c r="J13" t="inlineStr">
        <is>
          <t>sí</t>
        </is>
      </c>
    </row>
    <row r="14">
      <c r="A14" t="inlineStr">
        <is>
          <t>PRY-010</t>
        </is>
      </c>
      <c r="B14" t="n">
        <v>2015</v>
      </c>
      <c r="C14" t="inlineStr">
        <is>
          <t>Bases para la Formulación de una Política Cultural Universitaria</t>
        </is>
      </c>
      <c r="D14" t="inlineStr">
        <is>
          <t>Iván Ivelic Yanes</t>
        </is>
      </c>
      <c r="E14" t="inlineStr">
        <is>
          <t>Industrias creativas e innovación social para el desarrollo local</t>
        </is>
      </c>
      <c r="F14" t="inlineStr">
        <is>
          <t>Fundamentos disciplinares</t>
        </is>
      </c>
      <c r="G14" t="inlineStr">
        <is>
          <t>proyectual</t>
        </is>
      </c>
      <c r="H14" t="inlineStr">
        <is>
          <t>no</t>
        </is>
      </c>
      <c r="I14" t="inlineStr">
        <is>
          <t>baja</t>
        </is>
      </c>
      <c r="J14" t="inlineStr">
        <is>
          <t>sí</t>
        </is>
      </c>
    </row>
    <row r="15">
      <c r="A15" t="inlineStr">
        <is>
          <t>PRY-011</t>
        </is>
      </c>
      <c r="B15" t="n">
        <v>2015</v>
      </c>
      <c r="C15" t="inlineStr">
        <is>
          <t>Diseño escenario con características acústicas para las semanas musicales de Contulmo</t>
        </is>
      </c>
      <c r="D15" t="inlineStr">
        <is>
          <t>Andrés Garcés Alzamora</t>
        </is>
      </c>
      <c r="E15" t="inlineStr">
        <is>
          <t>Ciudad-teatro y apropiación escénica del espacio público</t>
        </is>
      </c>
      <c r="F15" t="inlineStr">
        <is>
          <t>Prácticas proyectuales</t>
        </is>
      </c>
      <c r="G15" t="inlineStr">
        <is>
          <t>proyectual</t>
        </is>
      </c>
      <c r="H15" t="inlineStr">
        <is>
          <t>no</t>
        </is>
      </c>
      <c r="I15" t="inlineStr">
        <is>
          <t>media</t>
        </is>
      </c>
      <c r="J15" t="inlineStr">
        <is>
          <t>sí</t>
        </is>
      </c>
    </row>
    <row r="16">
      <c r="A16" t="inlineStr">
        <is>
          <t>PRY-012</t>
        </is>
      </c>
      <c r="B16" t="n">
        <v>2015</v>
      </c>
      <c r="C16" t="inlineStr">
        <is>
          <t>Estudio de la movilidad y función social en los caminos de escala intermedia en Valparaíso</t>
        </is>
      </c>
      <c r="D16" t="inlineStr">
        <is>
          <t>David Luza Cornejo</t>
        </is>
      </c>
      <c r="E16" t="inlineStr">
        <is>
          <t>Movilidad, infraestructura urbana y equipamiento</t>
        </is>
      </c>
      <c r="F16" t="inlineStr">
        <is>
          <t>Prácticas proyectuales</t>
        </is>
      </c>
      <c r="G16" t="inlineStr">
        <is>
          <t>proyectual</t>
        </is>
      </c>
      <c r="H16" t="inlineStr">
        <is>
          <t>no</t>
        </is>
      </c>
      <c r="I16" t="inlineStr">
        <is>
          <t>alta</t>
        </is>
      </c>
      <c r="J16" t="inlineStr">
        <is>
          <t>no</t>
        </is>
      </c>
    </row>
    <row r="17">
      <c r="A17" t="inlineStr">
        <is>
          <t>PRY-013</t>
        </is>
      </c>
      <c r="B17" t="n">
        <v>2015</v>
      </c>
      <c r="C17" t="inlineStr">
        <is>
          <t>Las partituras de interacción como herramientas de diseño para la modelación de valor en nuevos servicios digitales</t>
        </is>
      </c>
      <c r="D17" t="inlineStr">
        <is>
          <t>Herbert Spencer González, Katherine Exss Cid</t>
        </is>
      </c>
      <c r="E17" t="inlineStr">
        <is>
          <t>Diseño de interacción, servicios y experiencia de usuario</t>
        </is>
      </c>
      <c r="F17" t="inlineStr">
        <is>
          <t>Fundamentos disciplinares</t>
        </is>
      </c>
      <c r="G17" t="inlineStr">
        <is>
          <t>proyectual</t>
        </is>
      </c>
      <c r="H17" t="inlineStr">
        <is>
          <t>no</t>
        </is>
      </c>
      <c r="I17" t="inlineStr">
        <is>
          <t>alta</t>
        </is>
      </c>
      <c r="J17" t="inlineStr">
        <is>
          <t>no</t>
        </is>
      </c>
    </row>
    <row r="18">
      <c r="A18" t="inlineStr">
        <is>
          <t>PRY-014</t>
        </is>
      </c>
      <c r="B18" t="n">
        <v>2015</v>
      </c>
      <c r="C18" t="inlineStr">
        <is>
          <t>Puesta en Valor de la Obra Poética de Godofredo Iommi M. (1917-2001)</t>
        </is>
      </c>
      <c r="D18" t="inlineStr">
        <is>
          <t>Manuel Sanfuentes</t>
        </is>
      </c>
      <c r="E18" t="inlineStr">
        <is>
          <t>Poesía y oficio</t>
        </is>
      </c>
      <c r="F18" t="inlineStr">
        <is>
          <t>Fundamentos disciplinares</t>
        </is>
      </c>
      <c r="G18" t="inlineStr">
        <is>
          <t>teórico</t>
        </is>
      </c>
      <c r="H18" t="inlineStr">
        <is>
          <t>no</t>
        </is>
      </c>
      <c r="I18" t="inlineStr">
        <is>
          <t>alta</t>
        </is>
      </c>
      <c r="J18" t="inlineStr">
        <is>
          <t>no</t>
        </is>
      </c>
    </row>
    <row r="19">
      <c r="A19" t="inlineStr">
        <is>
          <t>PRY-015</t>
        </is>
      </c>
      <c r="B19" t="n">
        <v>2015</v>
      </c>
      <c r="C19" t="inlineStr">
        <is>
          <t>Recorrido de la Cultura Material Religiosa en Valparaíso</t>
        </is>
      </c>
      <c r="D19" t="inlineStr">
        <is>
          <t>Daniela Salgado Cofré, Álvaro Mercado Jara</t>
        </is>
      </c>
      <c r="E19" t="inlineStr">
        <is>
          <t>Diseño social, territorial y patrimonio cultural</t>
        </is>
      </c>
      <c r="F19" t="inlineStr">
        <is>
          <t>Prácticas proyectuales</t>
        </is>
      </c>
      <c r="G19" t="inlineStr">
        <is>
          <t>proyectual</t>
        </is>
      </c>
      <c r="H19" t="inlineStr">
        <is>
          <t>no</t>
        </is>
      </c>
      <c r="I19" t="inlineStr">
        <is>
          <t>alta</t>
        </is>
      </c>
      <c r="J19" t="inlineStr">
        <is>
          <t>no</t>
        </is>
      </c>
    </row>
    <row r="20">
      <c r="A20" t="inlineStr">
        <is>
          <t>PRY-016</t>
        </is>
      </c>
      <c r="B20" t="n">
        <v>2015</v>
      </c>
      <c r="C20" t="inlineStr">
        <is>
          <t>Reestructuración de línea de estudio en cuanto a referencias artísticas del campo del Diseño</t>
        </is>
      </c>
      <c r="D20" t="inlineStr">
        <is>
          <t>Alejandro Garretón</t>
        </is>
      </c>
      <c r="E20" t="inlineStr">
        <is>
          <t>Fundamentos poéticos y artísticos del diseño</t>
        </is>
      </c>
      <c r="F20" t="inlineStr">
        <is>
          <t>Fundamentos disciplinares</t>
        </is>
      </c>
      <c r="G20" t="inlineStr">
        <is>
          <t>teórico</t>
        </is>
      </c>
      <c r="H20" t="inlineStr">
        <is>
          <t>no</t>
        </is>
      </c>
      <c r="I20" t="inlineStr">
        <is>
          <t>media</t>
        </is>
      </c>
      <c r="J20" t="inlineStr">
        <is>
          <t>sí</t>
        </is>
      </c>
    </row>
    <row r="21">
      <c r="A21" t="inlineStr">
        <is>
          <t>PRY-017</t>
        </is>
      </c>
      <c r="B21" t="n">
        <v>2016</v>
      </c>
      <c r="C21" t="inlineStr">
        <is>
          <t>Creación y realización de obras escenográficas para Teatro y Música con niños y jóvenes 2016</t>
        </is>
      </c>
      <c r="D21" t="inlineStr">
        <is>
          <t>Andrés Garcés Alzamora</t>
        </is>
      </c>
      <c r="E21" t="inlineStr">
        <is>
          <t>Ciudad-teatro y apropiación escénica del espacio público</t>
        </is>
      </c>
      <c r="F21" t="inlineStr">
        <is>
          <t>Prácticas proyectuales</t>
        </is>
      </c>
      <c r="G21" t="inlineStr">
        <is>
          <t>proyectual</t>
        </is>
      </c>
      <c r="H21" t="inlineStr">
        <is>
          <t>no</t>
        </is>
      </c>
      <c r="I21" t="inlineStr">
        <is>
          <t>media</t>
        </is>
      </c>
      <c r="J21" t="inlineStr">
        <is>
          <t>sí</t>
        </is>
      </c>
    </row>
    <row r="22">
      <c r="A22" t="inlineStr">
        <is>
          <t>PRY-018</t>
        </is>
      </c>
      <c r="B22" t="n">
        <v>2016</v>
      </c>
      <c r="C22" t="inlineStr">
        <is>
          <t>Diseño del primer Fablab Distribuido Regional. Sistema de red de capacidades distribuidas para la innovación tecnológica a través de la fabricación digital</t>
        </is>
      </c>
      <c r="D22" t="inlineStr">
        <is>
          <t>Juan Carlos Jeldes Pontio</t>
        </is>
      </c>
      <c r="E22" t="inlineStr">
        <is>
          <t>Fabricación digital, modelado paramétrico y fablabs</t>
        </is>
      </c>
      <c r="F22" t="inlineStr">
        <is>
          <t>Fundamentos disciplinares</t>
        </is>
      </c>
      <c r="G22" t="inlineStr">
        <is>
          <t>proyectual</t>
        </is>
      </c>
      <c r="H22" t="inlineStr">
        <is>
          <t>no</t>
        </is>
      </c>
      <c r="I22" t="inlineStr">
        <is>
          <t>alta</t>
        </is>
      </c>
      <c r="J22" t="inlineStr">
        <is>
          <t>no</t>
        </is>
      </c>
    </row>
    <row r="23">
      <c r="A23" t="inlineStr">
        <is>
          <t>PRY-019</t>
        </is>
      </c>
      <c r="B23" t="n">
        <v>2016</v>
      </c>
      <c r="C23" t="inlineStr">
        <is>
          <t>Generación y transformación del espacio público de ocio urbano en Valparaíso: Paradigma entre producción y prácticas informales en la parte alta de la ciudad</t>
        </is>
      </c>
      <c r="D23" t="inlineStr">
        <is>
          <t>Álvaro Mercado Jara</t>
        </is>
      </c>
      <c r="E23" t="inlineStr">
        <is>
          <t>Prácticas colectivas</t>
        </is>
      </c>
      <c r="F23" t="inlineStr">
        <is>
          <t>Prácticas proyectuales</t>
        </is>
      </c>
      <c r="G23" t="inlineStr">
        <is>
          <t>proyectual</t>
        </is>
      </c>
      <c r="H23" t="inlineStr">
        <is>
          <t>no</t>
        </is>
      </c>
      <c r="I23" t="inlineStr">
        <is>
          <t>media</t>
        </is>
      </c>
      <c r="J23" t="inlineStr">
        <is>
          <t>sí</t>
        </is>
      </c>
    </row>
    <row r="24">
      <c r="A24" t="inlineStr">
        <is>
          <t>PRY-020</t>
        </is>
      </c>
      <c r="B24" t="n">
        <v>2016</v>
      </c>
      <c r="C24" t="inlineStr">
        <is>
          <t>Multi Plataforma colaborativa para administrar terapias fonoaudiológicas</t>
        </is>
      </c>
      <c r="D24" t="inlineStr">
        <is>
          <t>Michèle Wilkomirsky Uribe</t>
        </is>
      </c>
      <c r="E24" t="inlineStr">
        <is>
          <t>Diseño de interacción, servicios y experiencia de usuario</t>
        </is>
      </c>
      <c r="F24" t="inlineStr">
        <is>
          <t>Fundamentos disciplinares</t>
        </is>
      </c>
      <c r="G24" t="inlineStr">
        <is>
          <t>proyectual</t>
        </is>
      </c>
      <c r="H24" t="inlineStr">
        <is>
          <t>no</t>
        </is>
      </c>
      <c r="I24" t="inlineStr">
        <is>
          <t>media</t>
        </is>
      </c>
      <c r="J24" t="inlineStr">
        <is>
          <t>sí</t>
        </is>
      </c>
    </row>
    <row r="25">
      <c r="A25" t="inlineStr">
        <is>
          <t>PRY-021</t>
        </is>
      </c>
      <c r="B25" t="n">
        <v>2016</v>
      </c>
      <c r="C25" t="inlineStr">
        <is>
          <t>Plataforma Mesh de Iluminación Basada en Nodos Controlados Mediante Servicio Web</t>
        </is>
      </c>
      <c r="D25" t="inlineStr">
        <is>
          <t>Herbert Spencer González</t>
        </is>
      </c>
      <c r="E25" t="inlineStr">
        <is>
          <t>Máquinas expresivas, algoritmos y arte tecnológico</t>
        </is>
      </c>
      <c r="F25" t="inlineStr">
        <is>
          <t>Fundamentos disciplinares</t>
        </is>
      </c>
      <c r="G25" t="inlineStr">
        <is>
          <t>proyectual</t>
        </is>
      </c>
      <c r="H25" t="inlineStr">
        <is>
          <t>no</t>
        </is>
      </c>
      <c r="I25" t="inlineStr">
        <is>
          <t>media</t>
        </is>
      </c>
      <c r="J25" t="inlineStr">
        <is>
          <t>sí</t>
        </is>
      </c>
    </row>
    <row r="26">
      <c r="A26" t="inlineStr">
        <is>
          <t>PRY-022</t>
        </is>
      </c>
      <c r="B26" t="n">
        <v>2017</v>
      </c>
      <c r="C26" t="inlineStr">
        <is>
          <t>Barrio digital/territorio barrial co-diseñando los espacios de participación ciudadana. Proyecto DI 37/2017.</t>
        </is>
      </c>
      <c r="D26" t="inlineStr">
        <is>
          <t>Michèle Wilkomirsky Uribe</t>
        </is>
      </c>
      <c r="E26" t="inlineStr">
        <is>
          <t>Diseño para la democracia y comunicación ciudadana</t>
        </is>
      </c>
      <c r="F26" t="inlineStr">
        <is>
          <t>Fundamentos disciplinares</t>
        </is>
      </c>
      <c r="G26" t="inlineStr">
        <is>
          <t>proyectual</t>
        </is>
      </c>
      <c r="H26" t="inlineStr">
        <is>
          <t>no</t>
        </is>
      </c>
      <c r="I26" t="inlineStr">
        <is>
          <t>alta</t>
        </is>
      </c>
      <c r="J26" t="inlineStr">
        <is>
          <t>no</t>
        </is>
      </c>
    </row>
    <row r="27">
      <c r="A27" t="inlineStr">
        <is>
          <t>PRY-023</t>
        </is>
      </c>
      <c r="B27" t="n">
        <v>2017</v>
      </c>
      <c r="C27" t="inlineStr">
        <is>
          <t>Cartografía Escénica de Valparaíso, proyecto para la difusión de espacios escénicos callejeros</t>
        </is>
      </c>
      <c r="D27" t="inlineStr">
        <is>
          <t>Andrés Garcés Alzamora</t>
        </is>
      </c>
      <c r="E27" t="inlineStr">
        <is>
          <t>Ciudad-teatro y apropiación escénica del espacio público</t>
        </is>
      </c>
      <c r="F27" t="inlineStr">
        <is>
          <t>Prácticas proyectuales</t>
        </is>
      </c>
      <c r="G27" t="inlineStr">
        <is>
          <t>proyectual</t>
        </is>
      </c>
      <c r="H27" t="inlineStr">
        <is>
          <t>no</t>
        </is>
      </c>
      <c r="I27" t="inlineStr">
        <is>
          <t>alta</t>
        </is>
      </c>
      <c r="J27" t="inlineStr">
        <is>
          <t>no</t>
        </is>
      </c>
    </row>
    <row r="28">
      <c r="A28" t="inlineStr">
        <is>
          <t>PRY-024</t>
        </is>
      </c>
      <c r="B28" t="n">
        <v>2017</v>
      </c>
      <c r="C28" t="inlineStr">
        <is>
          <t>Diseño de una fuente tipográfca para la ead</t>
        </is>
      </c>
      <c r="D28" t="inlineStr">
        <is>
          <t>Alejandro Garretón</t>
        </is>
      </c>
      <c r="E28" t="inlineStr">
        <is>
          <t>Comunicación visual, diseño editorial y exposición material</t>
        </is>
      </c>
      <c r="F28" t="inlineStr">
        <is>
          <t>Fundamentos disciplinares</t>
        </is>
      </c>
      <c r="G28" t="inlineStr">
        <is>
          <t>proyectual</t>
        </is>
      </c>
      <c r="H28" t="inlineStr">
        <is>
          <t>no</t>
        </is>
      </c>
      <c r="I28" t="inlineStr">
        <is>
          <t>alta</t>
        </is>
      </c>
      <c r="J28" t="inlineStr">
        <is>
          <t>no</t>
        </is>
      </c>
    </row>
    <row r="29">
      <c r="A29" t="inlineStr">
        <is>
          <t>PRY-025</t>
        </is>
      </c>
      <c r="B29" t="n">
        <v>2017</v>
      </c>
      <c r="C29" t="inlineStr">
        <is>
          <t>Dispositivo Actor-Reactor como unidad material para la interacción física en espacios expositivos</t>
        </is>
      </c>
      <c r="D29" t="inlineStr">
        <is>
          <t>Herbert Spencer González, Marcelo Araya Aravena, Leonardo Aravena</t>
        </is>
      </c>
      <c r="E29" t="inlineStr">
        <is>
          <t>Máquinas expresivas, algoritmos y arte tecnológico</t>
        </is>
      </c>
      <c r="F29" t="inlineStr">
        <is>
          <t>Fundamentos disciplinares</t>
        </is>
      </c>
      <c r="G29" t="inlineStr">
        <is>
          <t>proyectual</t>
        </is>
      </c>
      <c r="H29" t="inlineStr">
        <is>
          <t>no</t>
        </is>
      </c>
      <c r="I29" t="inlineStr">
        <is>
          <t>media</t>
        </is>
      </c>
      <c r="J29" t="inlineStr">
        <is>
          <t>sí</t>
        </is>
      </c>
    </row>
    <row r="30">
      <c r="A30" t="inlineStr">
        <is>
          <t>PRY-026</t>
        </is>
      </c>
      <c r="B30" t="n">
        <v>2017</v>
      </c>
      <c r="C30" t="inlineStr">
        <is>
          <t>El Espacio Expositivo en la Incorporación de la Interacción como Material de Diseño en la Formación Artística del Diseñador</t>
        </is>
      </c>
      <c r="D30" t="inlineStr">
        <is>
          <t>Marcelo Araya Aravena</t>
        </is>
      </c>
      <c r="E30" t="inlineStr">
        <is>
          <t>Máquinas expresivas, algoritmos y arte tecnológico</t>
        </is>
      </c>
      <c r="F30" t="inlineStr">
        <is>
          <t>Fundamentos disciplinares</t>
        </is>
      </c>
      <c r="G30" t="inlineStr">
        <is>
          <t>proyectual</t>
        </is>
      </c>
      <c r="H30" t="inlineStr">
        <is>
          <t>no</t>
        </is>
      </c>
      <c r="I30" t="inlineStr">
        <is>
          <t>media</t>
        </is>
      </c>
      <c r="J30" t="inlineStr">
        <is>
          <t>sí</t>
        </is>
      </c>
    </row>
    <row r="31">
      <c r="A31" t="inlineStr">
        <is>
          <t>PRY-027</t>
        </is>
      </c>
      <c r="B31" t="n">
        <v>2017</v>
      </c>
      <c r="C31" t="inlineStr">
        <is>
          <t>El vacío lúdico: espacio público didáctico de estimulación, aprendizaje e identidad”</t>
        </is>
      </c>
      <c r="D31" t="inlineStr">
        <is>
          <t>Rodrigo Saavedra Venegas</t>
        </is>
      </c>
      <c r="E31" t="inlineStr">
        <is>
          <t>Espacios de estimulación temprana</t>
        </is>
      </c>
      <c r="F31" t="inlineStr">
        <is>
          <t>Fundamentos disciplinares</t>
        </is>
      </c>
      <c r="G31" t="inlineStr">
        <is>
          <t>proyectual</t>
        </is>
      </c>
      <c r="H31" t="inlineStr">
        <is>
          <t>no</t>
        </is>
      </c>
      <c r="I31" t="inlineStr">
        <is>
          <t>alta</t>
        </is>
      </c>
      <c r="J31" t="inlineStr">
        <is>
          <t>no</t>
        </is>
      </c>
    </row>
    <row r="32">
      <c r="A32" t="inlineStr">
        <is>
          <t>PRY-028</t>
        </is>
      </c>
      <c r="B32" t="n">
        <v>2017</v>
      </c>
      <c r="C32" t="inlineStr">
        <is>
          <t>Estudio y exploración espacial sensible del Caminar y su efecto en una visión de movilidad activa, a escala humana, en avenida Brasil Valparaíso.</t>
        </is>
      </c>
      <c r="D32" t="inlineStr">
        <is>
          <t>David Luza Cornejo</t>
        </is>
      </c>
      <c r="E32" t="inlineStr">
        <is>
          <t>Movilidad, infraestructura urbana y equipamiento</t>
        </is>
      </c>
      <c r="F32" t="inlineStr">
        <is>
          <t>Prácticas proyectuales</t>
        </is>
      </c>
      <c r="G32" t="inlineStr">
        <is>
          <t>proyectual</t>
        </is>
      </c>
      <c r="H32" t="inlineStr">
        <is>
          <t>no</t>
        </is>
      </c>
      <c r="I32" t="inlineStr">
        <is>
          <t>alta</t>
        </is>
      </c>
      <c r="J32" t="inlineStr">
        <is>
          <t>no</t>
        </is>
      </c>
    </row>
    <row r="33">
      <c r="A33" t="inlineStr">
        <is>
          <t>PRY-029</t>
        </is>
      </c>
      <c r="B33" t="n">
        <v>2017</v>
      </c>
      <c r="C33" t="inlineStr">
        <is>
          <t>I2: Investigación Inclusiva: Oportunidades para fortalecer la autodeterminación en la era digital</t>
        </is>
      </c>
      <c r="D33" t="inlineStr">
        <is>
          <t>Herbert Spencer González</t>
        </is>
      </c>
      <c r="E33" t="inlineStr">
        <is>
          <t>Accesibilidad e inclusión</t>
        </is>
      </c>
      <c r="F33" t="inlineStr">
        <is>
          <t>Fundamentos disciplinares</t>
        </is>
      </c>
      <c r="G33" t="inlineStr">
        <is>
          <t>proyectual</t>
        </is>
      </c>
      <c r="H33" t="inlineStr">
        <is>
          <t>no</t>
        </is>
      </c>
      <c r="I33" t="inlineStr">
        <is>
          <t>alta</t>
        </is>
      </c>
      <c r="J33" t="inlineStr">
        <is>
          <t>no</t>
        </is>
      </c>
    </row>
    <row r="34">
      <c r="A34" t="inlineStr">
        <is>
          <t>PRY-030</t>
        </is>
      </c>
      <c r="B34" t="n">
        <v>2017</v>
      </c>
      <c r="C34" t="inlineStr">
        <is>
          <t>Procesos colectivos de diseño: Ronda de la Ciudad Abierta</t>
        </is>
      </c>
      <c r="D34" t="inlineStr">
        <is>
          <t>Óscar Andrade Castro</t>
        </is>
      </c>
      <c r="E34" t="inlineStr">
        <is>
          <t>Formación en pensamiento y acción creativa</t>
        </is>
      </c>
      <c r="F34" t="inlineStr">
        <is>
          <t>Fundamentos disciplinares</t>
        </is>
      </c>
      <c r="G34" t="inlineStr">
        <is>
          <t>proyectual</t>
        </is>
      </c>
      <c r="H34" t="inlineStr">
        <is>
          <t>no</t>
        </is>
      </c>
      <c r="I34" t="inlineStr">
        <is>
          <t>media</t>
        </is>
      </c>
      <c r="J34" t="inlineStr">
        <is>
          <t>sí</t>
        </is>
      </c>
    </row>
    <row r="35">
      <c r="A35" t="inlineStr">
        <is>
          <t>PRY-031</t>
        </is>
      </c>
      <c r="B35" t="n">
        <v>2018</v>
      </c>
      <c r="C35" t="inlineStr">
        <is>
          <t>Artefacto sensible ludico urbano</t>
        </is>
      </c>
      <c r="D35" t="inlineStr">
        <is>
          <t>David Luza Cornejo</t>
        </is>
      </c>
      <c r="E35" t="inlineStr">
        <is>
          <t>Mobiliario, vida cotidiana y materialidad de la obra</t>
        </is>
      </c>
      <c r="F35" t="inlineStr">
        <is>
          <t>Prácticas proyectuales</t>
        </is>
      </c>
      <c r="G35" t="inlineStr">
        <is>
          <t>proyectual</t>
        </is>
      </c>
      <c r="H35" t="inlineStr">
        <is>
          <t>no</t>
        </is>
      </c>
      <c r="I35" t="inlineStr">
        <is>
          <t>media</t>
        </is>
      </c>
      <c r="J35" t="inlineStr">
        <is>
          <t>sí</t>
        </is>
      </c>
    </row>
    <row r="36">
      <c r="A36" t="inlineStr">
        <is>
          <t>PRY-032</t>
        </is>
      </c>
      <c r="B36" t="n">
        <v>2018</v>
      </c>
      <c r="C36" t="inlineStr">
        <is>
          <t>Ações para inovação social e/ou tecnológica na América Latina</t>
        </is>
      </c>
      <c r="D36" t="inlineStr">
        <is>
          <t>Arturo Chicano Jiménez</t>
        </is>
      </c>
      <c r="E36" t="inlineStr">
        <is>
          <t>Industrias creativas e innovación social para el desarrollo local</t>
        </is>
      </c>
      <c r="F36" t="inlineStr">
        <is>
          <t>Fundamentos disciplinares</t>
        </is>
      </c>
      <c r="G36" t="inlineStr">
        <is>
          <t>proyectual</t>
        </is>
      </c>
      <c r="H36" t="inlineStr">
        <is>
          <t>no</t>
        </is>
      </c>
      <c r="I36" t="inlineStr">
        <is>
          <t>media</t>
        </is>
      </c>
      <c r="J36" t="inlineStr">
        <is>
          <t>sí</t>
        </is>
      </c>
    </row>
    <row r="37">
      <c r="A37" t="inlineStr">
        <is>
          <t>PRY-033</t>
        </is>
      </c>
      <c r="B37" t="n">
        <v>2018</v>
      </c>
      <c r="C37" t="inlineStr">
        <is>
          <t>Casiopea: Uso de las Tecnologías de Información y las Comunicaciones en el Taller</t>
        </is>
      </c>
      <c r="D37" t="inlineStr">
        <is>
          <t>Herbert Spencer González, Jaime Reyes Gil, David Luza Cornejo</t>
        </is>
      </c>
      <c r="E37" t="inlineStr">
        <is>
          <t>Medios de aprendizaje en arquitectura y diseño</t>
        </is>
      </c>
      <c r="F37" t="inlineStr">
        <is>
          <t>Fundamentos disciplinares</t>
        </is>
      </c>
      <c r="G37" t="inlineStr">
        <is>
          <t>proyectual</t>
        </is>
      </c>
      <c r="H37" t="inlineStr">
        <is>
          <t>no</t>
        </is>
      </c>
      <c r="I37" t="inlineStr">
        <is>
          <t>alta</t>
        </is>
      </c>
      <c r="J37" t="inlineStr">
        <is>
          <t>no</t>
        </is>
      </c>
    </row>
    <row r="38">
      <c r="A38" t="inlineStr">
        <is>
          <t>PRY-034</t>
        </is>
      </c>
      <c r="B38" t="n">
        <v>2018</v>
      </c>
      <c r="C38" t="inlineStr">
        <is>
          <t>Cinco intentos filosóficos de François Fédier</t>
        </is>
      </c>
      <c r="D38" t="inlineStr">
        <is>
          <t>Sylvia Arriagada Cordero</t>
        </is>
      </c>
      <c r="E38" t="inlineStr">
        <is>
          <t>Tecnología, sociedad y techné</t>
        </is>
      </c>
      <c r="F38" t="inlineStr">
        <is>
          <t>Fundamentos disciplinares</t>
        </is>
      </c>
      <c r="G38" t="inlineStr">
        <is>
          <t>teórico</t>
        </is>
      </c>
      <c r="H38" t="inlineStr">
        <is>
          <t>no</t>
        </is>
      </c>
      <c r="I38" t="inlineStr">
        <is>
          <t>media</t>
        </is>
      </c>
      <c r="J38" t="inlineStr">
        <is>
          <t>sí</t>
        </is>
      </c>
    </row>
    <row r="39">
      <c r="A39" t="inlineStr">
        <is>
          <t>PRY-035</t>
        </is>
      </c>
      <c r="B39" t="n">
        <v>2018</v>
      </c>
      <c r="C39" t="inlineStr">
        <is>
          <t>Cualidades espaciales del edificio escolar: Luz y tamaño en la Escuela María Gaete de Arauco</t>
        </is>
      </c>
      <c r="D39" t="inlineStr">
        <is>
          <t>Ursula Exss Cid</t>
        </is>
      </c>
      <c r="E39" t="inlineStr">
        <is>
          <t>Proyecto de arquitectura escolar</t>
        </is>
      </c>
      <c r="F39" t="inlineStr">
        <is>
          <t>Fundamentos disciplinares</t>
        </is>
      </c>
      <c r="G39" t="inlineStr">
        <is>
          <t>proyectual</t>
        </is>
      </c>
      <c r="H39" t="inlineStr">
        <is>
          <t>no</t>
        </is>
      </c>
      <c r="I39" t="inlineStr">
        <is>
          <t>alta</t>
        </is>
      </c>
      <c r="J39" t="inlineStr">
        <is>
          <t>no</t>
        </is>
      </c>
    </row>
    <row r="40">
      <c r="A40" t="inlineStr">
        <is>
          <t>PRY-036</t>
        </is>
      </c>
      <c r="B40" t="n">
        <v>2018</v>
      </c>
      <c r="C40" t="inlineStr">
        <is>
          <t>Develando la urbanización Sudamericana: La noción de Mar Interior y Baldío Americano en la práctica de las Travesías de Amereida</t>
        </is>
      </c>
      <c r="D40" t="inlineStr">
        <is>
          <t>Álvaro Mercado Jara</t>
        </is>
      </c>
      <c r="E40" t="inlineStr">
        <is>
          <t>Travesías y geopoética</t>
        </is>
      </c>
      <c r="F40" t="inlineStr">
        <is>
          <t>Prácticas proyectuales</t>
        </is>
      </c>
      <c r="G40" t="inlineStr">
        <is>
          <t>proyectual</t>
        </is>
      </c>
      <c r="H40" t="inlineStr">
        <is>
          <t>no</t>
        </is>
      </c>
      <c r="I40" t="inlineStr">
        <is>
          <t>alta</t>
        </is>
      </c>
      <c r="J40" t="inlineStr">
        <is>
          <t>no</t>
        </is>
      </c>
    </row>
    <row r="41">
      <c r="A41" t="inlineStr">
        <is>
          <t>PRY-037</t>
        </is>
      </c>
      <c r="B41" t="n">
        <v>2018</v>
      </c>
      <c r="C41" t="inlineStr">
        <is>
          <t>Diálogo de actualización en re-creación sintactica mobiliario e[ad]</t>
        </is>
      </c>
      <c r="D41" t="inlineStr">
        <is>
          <t>Juan Carlos Jeldes Pontio</t>
        </is>
      </c>
      <c r="E41" t="inlineStr">
        <is>
          <t>Mobiliario, vida cotidiana y materialidad de la obra</t>
        </is>
      </c>
      <c r="F41" t="inlineStr">
        <is>
          <t>Prácticas proyectuales</t>
        </is>
      </c>
      <c r="G41" t="inlineStr">
        <is>
          <t>proyectual</t>
        </is>
      </c>
      <c r="H41" t="inlineStr">
        <is>
          <t>no</t>
        </is>
      </c>
      <c r="I41" t="inlineStr">
        <is>
          <t>media</t>
        </is>
      </c>
      <c r="J41" t="inlineStr">
        <is>
          <t>sí</t>
        </is>
      </c>
    </row>
    <row r="42">
      <c r="A42" t="inlineStr">
        <is>
          <t>PRY-038</t>
        </is>
      </c>
      <c r="B42" t="n">
        <v>2018</v>
      </c>
      <c r="C42" t="inlineStr">
        <is>
          <t>Fonds et Tiroirs: Co-Diseño en Tiempo Real en Arquitectura y Paisaje</t>
        </is>
      </c>
      <c r="D42" t="inlineStr">
        <is>
          <t>Iván Ivelic Yanes</t>
        </is>
      </c>
      <c r="E42" t="inlineStr">
        <is>
          <t>Naturaleza, paisaje y patrimonio natural</t>
        </is>
      </c>
      <c r="F42" t="inlineStr">
        <is>
          <t>Prácticas proyectuales</t>
        </is>
      </c>
      <c r="G42" t="inlineStr">
        <is>
          <t>proyectual</t>
        </is>
      </c>
      <c r="H42" t="inlineStr">
        <is>
          <t>no</t>
        </is>
      </c>
      <c r="I42" t="inlineStr">
        <is>
          <t>media</t>
        </is>
      </c>
      <c r="J42" t="inlineStr">
        <is>
          <t>sí</t>
        </is>
      </c>
    </row>
    <row r="43">
      <c r="A43" t="inlineStr">
        <is>
          <t>PRY-039</t>
        </is>
      </c>
      <c r="B43" t="n">
        <v>2018</v>
      </c>
      <c r="C43" t="inlineStr">
        <is>
          <t>I3: Investigación, Innovación e Inclusión en la PUCV</t>
        </is>
      </c>
      <c r="D43" t="inlineStr">
        <is>
          <t>Herbert Spencer González</t>
        </is>
      </c>
      <c r="E43" t="inlineStr">
        <is>
          <t>Accesibilidad e inclusión</t>
        </is>
      </c>
      <c r="F43" t="inlineStr">
        <is>
          <t>Fundamentos disciplinares</t>
        </is>
      </c>
      <c r="G43" t="inlineStr">
        <is>
          <t>proyectual</t>
        </is>
      </c>
      <c r="H43" t="inlineStr">
        <is>
          <t>no</t>
        </is>
      </c>
      <c r="I43" t="inlineStr">
        <is>
          <t>alta</t>
        </is>
      </c>
      <c r="J43" t="inlineStr">
        <is>
          <t>no</t>
        </is>
      </c>
    </row>
    <row r="44">
      <c r="A44" t="inlineStr">
        <is>
          <t>PRY-040</t>
        </is>
      </c>
      <c r="B44" t="n">
        <v>2018</v>
      </c>
      <c r="C44" t="inlineStr">
        <is>
          <t>Móvil Maker, acelerando el desarrollo de una cultura innovadora en la Región de Atacama</t>
        </is>
      </c>
      <c r="D44" t="inlineStr">
        <is>
          <t>Juan Carlos Jeldes Pontio</t>
        </is>
      </c>
      <c r="E44" t="inlineStr">
        <is>
          <t>Transferencia de medios tecnológicos con aplicación al emprendimiento local</t>
        </is>
      </c>
      <c r="F44" t="inlineStr">
        <is>
          <t>Fundamentos disciplinares</t>
        </is>
      </c>
      <c r="G44" t="inlineStr">
        <is>
          <t>proyectual</t>
        </is>
      </c>
      <c r="H44" t="inlineStr">
        <is>
          <t>no</t>
        </is>
      </c>
      <c r="I44" t="inlineStr">
        <is>
          <t>alta</t>
        </is>
      </c>
      <c r="J44" t="inlineStr">
        <is>
          <t>no</t>
        </is>
      </c>
    </row>
    <row r="45">
      <c r="A45" t="inlineStr">
        <is>
          <t>PRY-041</t>
        </is>
      </c>
      <c r="B45" t="n">
        <v>2018</v>
      </c>
      <c r="C45" t="inlineStr">
        <is>
          <t>Permeabilidad y Resistencia: ¿Cómo cambian las expresiones formales y técnicas de la artesanía? Los casos de Pomaire y Rari.</t>
        </is>
      </c>
      <c r="D45" t="inlineStr">
        <is>
          <t>Daniela Salgado Cofré</t>
        </is>
      </c>
      <c r="E45" t="inlineStr">
        <is>
          <t>Diseño social, territorial y patrimonio cultural</t>
        </is>
      </c>
      <c r="F45" t="inlineStr">
        <is>
          <t>Prácticas proyectuales</t>
        </is>
      </c>
      <c r="G45" t="inlineStr">
        <is>
          <t>proyectual</t>
        </is>
      </c>
      <c r="H45" t="inlineStr">
        <is>
          <t>no</t>
        </is>
      </c>
      <c r="I45" t="inlineStr">
        <is>
          <t>alta</t>
        </is>
      </c>
      <c r="J45" t="inlineStr">
        <is>
          <t>no</t>
        </is>
      </c>
    </row>
    <row r="46">
      <c r="A46" t="inlineStr">
        <is>
          <t>PRY-042</t>
        </is>
      </c>
      <c r="B46" t="n">
        <v>2018</v>
      </c>
      <c r="C46" t="inlineStr">
        <is>
          <t>Red Científica Interdisciplinaria de investigación e innovación en Discapacidad Intelectual y/o del Desarrollo (REIDI)</t>
        </is>
      </c>
      <c r="D46" t="inlineStr">
        <is>
          <t>Herbert Spencer González</t>
        </is>
      </c>
      <c r="E46" t="inlineStr">
        <is>
          <t>Accesibilidad e inclusión</t>
        </is>
      </c>
      <c r="F46" t="inlineStr">
        <is>
          <t>Fundamentos disciplinares</t>
        </is>
      </c>
      <c r="G46" t="inlineStr">
        <is>
          <t>proyectual</t>
        </is>
      </c>
      <c r="H46" t="inlineStr">
        <is>
          <t>no</t>
        </is>
      </c>
      <c r="I46" t="inlineStr">
        <is>
          <t>alta</t>
        </is>
      </c>
      <c r="J46" t="inlineStr">
        <is>
          <t>no</t>
        </is>
      </c>
    </row>
    <row r="47">
      <c r="A47" t="inlineStr">
        <is>
          <t>PRY-043</t>
        </is>
      </c>
      <c r="B47" t="n">
        <v>2018</v>
      </c>
      <c r="C47" t="inlineStr">
        <is>
          <t>Refiguración de un vacío lúdico: Observar y transformar la habitabilidad de un espacio público de estimulación para la primera infancia.</t>
        </is>
      </c>
      <c r="D47" t="inlineStr">
        <is>
          <t>Rodrigo Saavedra Venegas</t>
        </is>
      </c>
      <c r="E47" t="inlineStr">
        <is>
          <t>Espacios de estimulación temprana</t>
        </is>
      </c>
      <c r="F47" t="inlineStr">
        <is>
          <t>Fundamentos disciplinares</t>
        </is>
      </c>
      <c r="G47" t="inlineStr">
        <is>
          <t>proyectual</t>
        </is>
      </c>
      <c r="H47" t="inlineStr">
        <is>
          <t>no</t>
        </is>
      </c>
      <c r="I47" t="inlineStr">
        <is>
          <t>alta</t>
        </is>
      </c>
      <c r="J47" t="inlineStr">
        <is>
          <t>no</t>
        </is>
      </c>
    </row>
    <row r="48">
      <c r="A48" t="inlineStr">
        <is>
          <t>PRY-044</t>
        </is>
      </c>
      <c r="B48" t="n">
        <v>2018</v>
      </c>
      <c r="C48" t="inlineStr">
        <is>
          <t>Un territorio sub-antártico de innovación ecológico-cultural: Propuesta conceptual y arquitectónica del Complejo étnico, científico y turístico de Jetarkte</t>
        </is>
      </c>
      <c r="D48" t="inlineStr">
        <is>
          <t>Andrés Garcés Alzamora, Marcelo Araya Aravena</t>
        </is>
      </c>
      <c r="E48" t="inlineStr">
        <is>
          <t>Naturaleza, paisaje y patrimonio natural</t>
        </is>
      </c>
      <c r="F48" t="inlineStr">
        <is>
          <t>Prácticas proyectuales</t>
        </is>
      </c>
      <c r="G48" t="inlineStr">
        <is>
          <t>proyectual</t>
        </is>
      </c>
      <c r="H48" t="inlineStr">
        <is>
          <t>no</t>
        </is>
      </c>
      <c r="I48" t="inlineStr">
        <is>
          <t>media</t>
        </is>
      </c>
      <c r="J48" t="inlineStr">
        <is>
          <t>sí</t>
        </is>
      </c>
    </row>
    <row r="49">
      <c r="A49" t="inlineStr">
        <is>
          <t>PRY-045</t>
        </is>
      </c>
      <c r="B49" t="n">
        <v>2019</v>
      </c>
      <c r="C49" t="inlineStr">
        <is>
          <t>Apoyos Visuales para la Plena Inclusión de las Personas con Discapacidad Intelectual en los Servicios Públicos en Chile</t>
        </is>
      </c>
      <c r="D49" t="inlineStr">
        <is>
          <t>Herbert Spencer González, Katherine Exss Cid</t>
        </is>
      </c>
      <c r="E49" t="inlineStr">
        <is>
          <t>Accesibilidad cognitiva y codiseño</t>
        </is>
      </c>
      <c r="F49" t="inlineStr">
        <is>
          <t>Fundamentos disciplinares</t>
        </is>
      </c>
      <c r="G49" t="inlineStr">
        <is>
          <t>proyectual</t>
        </is>
      </c>
      <c r="H49" t="inlineStr">
        <is>
          <t>no</t>
        </is>
      </c>
      <c r="I49" t="inlineStr">
        <is>
          <t>alta</t>
        </is>
      </c>
      <c r="J49" t="inlineStr">
        <is>
          <t>no</t>
        </is>
      </c>
    </row>
    <row r="50">
      <c r="A50" t="inlineStr">
        <is>
          <t>PRY-046</t>
        </is>
      </c>
      <c r="B50" t="n">
        <v>2019</v>
      </c>
      <c r="C50" t="inlineStr">
        <is>
          <t>BUILD Confidence “Empowering vulnerable communities facing environmental risks to achieve resilience"</t>
        </is>
      </c>
      <c r="D50" t="inlineStr">
        <is>
          <t>Daniela Salgado Cofré</t>
        </is>
      </c>
      <c r="E50" t="inlineStr">
        <is>
          <t>Comunes, comunalidad y resiliencias socioecológicas</t>
        </is>
      </c>
      <c r="F50" t="inlineStr">
        <is>
          <t>Prácticas proyectuales</t>
        </is>
      </c>
      <c r="G50" t="inlineStr">
        <is>
          <t>teórico</t>
        </is>
      </c>
      <c r="H50" t="inlineStr">
        <is>
          <t>no</t>
        </is>
      </c>
      <c r="I50" t="inlineStr">
        <is>
          <t>media</t>
        </is>
      </c>
      <c r="J50" t="inlineStr">
        <is>
          <t>sí</t>
        </is>
      </c>
    </row>
    <row r="51">
      <c r="A51" t="inlineStr">
        <is>
          <t>PRY-047</t>
        </is>
      </c>
      <c r="B51" t="n">
        <v>2019</v>
      </c>
      <c r="C51" t="inlineStr">
        <is>
          <t>Cualidades espaciales del edificio escolar: Colegio María Gaete de Arauco (1965)</t>
        </is>
      </c>
      <c r="D51" t="inlineStr">
        <is>
          <t>Ursula Exss Cid</t>
        </is>
      </c>
      <c r="E51" t="inlineStr">
        <is>
          <t>Proyecto de arquitectura escolar</t>
        </is>
      </c>
      <c r="F51" t="inlineStr">
        <is>
          <t>Fundamentos disciplinares</t>
        </is>
      </c>
      <c r="G51" t="inlineStr">
        <is>
          <t>proyectual</t>
        </is>
      </c>
      <c r="H51" t="inlineStr">
        <is>
          <t>no</t>
        </is>
      </c>
      <c r="I51" t="inlineStr">
        <is>
          <t>alta</t>
        </is>
      </c>
      <c r="J51" t="inlineStr">
        <is>
          <t>no</t>
        </is>
      </c>
    </row>
    <row r="52">
      <c r="A52" t="inlineStr">
        <is>
          <t>PRY-048</t>
        </is>
      </c>
      <c r="B52" t="n">
        <v>2019</v>
      </c>
      <c r="C52" t="inlineStr">
        <is>
          <t>Entre innovación y tradición: Fricciones y controversias en Pomaire y el objeto artesanal</t>
        </is>
      </c>
      <c r="D52" t="inlineStr">
        <is>
          <t>Daniela Salgado Cofré</t>
        </is>
      </c>
      <c r="E52" t="inlineStr">
        <is>
          <t>Diseño social, territorial y patrimonio cultural</t>
        </is>
      </c>
      <c r="F52" t="inlineStr">
        <is>
          <t>Prácticas proyectuales</t>
        </is>
      </c>
      <c r="G52" t="inlineStr">
        <is>
          <t>proyectual</t>
        </is>
      </c>
      <c r="H52" t="inlineStr">
        <is>
          <t>no</t>
        </is>
      </c>
      <c r="I52" t="inlineStr">
        <is>
          <t>alta</t>
        </is>
      </c>
      <c r="J52" t="inlineStr">
        <is>
          <t>no</t>
        </is>
      </c>
    </row>
    <row r="53">
      <c r="A53" t="inlineStr">
        <is>
          <t>PRY-049</t>
        </is>
      </c>
      <c r="B53" t="n">
        <v>2019</v>
      </c>
      <c r="C53" t="inlineStr">
        <is>
          <t>Errando se aprende a errar</t>
        </is>
      </c>
      <c r="D53" t="inlineStr">
        <is>
          <t>Emanuela Di Felice</t>
        </is>
      </c>
      <c r="E53" t="inlineStr">
        <is>
          <t>Urbanismo afectivo, deriva y reuso del patrimonio</t>
        </is>
      </c>
      <c r="F53" t="inlineStr">
        <is>
          <t>Prácticas proyectuales</t>
        </is>
      </c>
      <c r="G53" t="inlineStr">
        <is>
          <t>proyectual</t>
        </is>
      </c>
      <c r="H53" t="inlineStr">
        <is>
          <t>no</t>
        </is>
      </c>
      <c r="I53" t="inlineStr">
        <is>
          <t>alta</t>
        </is>
      </c>
      <c r="J53" t="inlineStr">
        <is>
          <t>no</t>
        </is>
      </c>
    </row>
    <row r="54">
      <c r="A54" t="inlineStr">
        <is>
          <t>PRY-050</t>
        </is>
      </c>
      <c r="B54" t="n">
        <v>2019</v>
      </c>
      <c r="C54" t="inlineStr">
        <is>
          <t>Facilitando el aprendizaje a lo largo de la vida: desafíos que plantea el envejecimiento de la población con discapacidad intelectual o del desarrollo en Chile</t>
        </is>
      </c>
      <c r="D54" t="inlineStr">
        <is>
          <t>Herbert Spencer González</t>
        </is>
      </c>
      <c r="E54" t="inlineStr">
        <is>
          <t>Diseño y vida independiente</t>
        </is>
      </c>
      <c r="F54" t="inlineStr">
        <is>
          <t>Fundamentos disciplinares</t>
        </is>
      </c>
      <c r="G54" t="inlineStr">
        <is>
          <t>proyectual</t>
        </is>
      </c>
      <c r="H54" t="inlineStr">
        <is>
          <t>no</t>
        </is>
      </c>
      <c r="I54" t="inlineStr">
        <is>
          <t>media</t>
        </is>
      </c>
      <c r="J54" t="inlineStr">
        <is>
          <t>sí</t>
        </is>
      </c>
    </row>
    <row r="55">
      <c r="A55" t="inlineStr">
        <is>
          <t>PRY-051</t>
        </is>
      </c>
      <c r="B55" t="n">
        <v>2019</v>
      </c>
      <c r="C55" t="inlineStr">
        <is>
          <t>Formas y estructuras asociadas a biopelículas bacterianas: Dilucidando los patrones autorregulados emergentes para crear construcciones resilientes</t>
        </is>
      </c>
      <c r="D55" t="inlineStr">
        <is>
          <t>David Luza Cornejo</t>
        </is>
      </c>
      <c r="E55" t="inlineStr">
        <is>
          <t>Adaptación formal ante desastres</t>
        </is>
      </c>
      <c r="F55" t="inlineStr">
        <is>
          <t>Prácticas proyectuales</t>
        </is>
      </c>
      <c r="G55" t="inlineStr">
        <is>
          <t>proyectual</t>
        </is>
      </c>
      <c r="H55" t="inlineStr">
        <is>
          <t>no</t>
        </is>
      </c>
      <c r="I55" t="inlineStr">
        <is>
          <t>baja</t>
        </is>
      </c>
      <c r="J55" t="inlineStr">
        <is>
          <t>sí</t>
        </is>
      </c>
    </row>
    <row r="56">
      <c r="A56" t="inlineStr">
        <is>
          <t>PRY-052</t>
        </is>
      </c>
      <c r="B56" t="n">
        <v>2019</v>
      </c>
      <c r="C56" t="inlineStr">
        <is>
          <t>GeoHumanidades y (Bio)Geografías Creativas abordando la sustentabilidad y co-conservación a través de "Inmersión Rizomática"</t>
        </is>
      </c>
      <c r="D56" t="inlineStr">
        <is>
          <t>Juan Carlos Jeldes Pontio</t>
        </is>
      </c>
      <c r="E56" t="inlineStr">
        <is>
          <t>Comunes, comunalidad y resiliencias socioecológicas</t>
        </is>
      </c>
      <c r="F56" t="inlineStr">
        <is>
          <t>Prácticas proyectuales</t>
        </is>
      </c>
      <c r="G56" t="inlineStr">
        <is>
          <t>teórico</t>
        </is>
      </c>
      <c r="H56" t="inlineStr">
        <is>
          <t>no</t>
        </is>
      </c>
      <c r="I56" t="inlineStr">
        <is>
          <t>media</t>
        </is>
      </c>
      <c r="J56" t="inlineStr">
        <is>
          <t>sí</t>
        </is>
      </c>
    </row>
    <row r="57">
      <c r="A57" t="inlineStr">
        <is>
          <t>PRY-053</t>
        </is>
      </c>
      <c r="B57" t="n">
        <v>2019</v>
      </c>
      <c r="C57" t="inlineStr">
        <is>
          <t>LIAE-LABORATORIO INTERDISCIPLINARIO DE ARTES ESCENICAS PARA LA CREACION DE UN POEMA ESCENICO</t>
        </is>
      </c>
      <c r="D57" t="inlineStr">
        <is>
          <t>Andrés Garcés Alzamora</t>
        </is>
      </c>
      <c r="E57" t="inlineStr">
        <is>
          <t>Ciudad-teatro y apropiación escénica del espacio público</t>
        </is>
      </c>
      <c r="F57" t="inlineStr">
        <is>
          <t>Prácticas proyectuales</t>
        </is>
      </c>
      <c r="G57" t="inlineStr">
        <is>
          <t>proyectual</t>
        </is>
      </c>
      <c r="H57" t="inlineStr">
        <is>
          <t>no</t>
        </is>
      </c>
      <c r="I57" t="inlineStr">
        <is>
          <t>media</t>
        </is>
      </c>
      <c r="J57" t="inlineStr">
        <is>
          <t>sí</t>
        </is>
      </c>
    </row>
    <row r="58">
      <c r="A58" t="inlineStr">
        <is>
          <t>PRY-054</t>
        </is>
      </c>
      <c r="B58" t="n">
        <v>2019</v>
      </c>
      <c r="C58" t="inlineStr">
        <is>
          <t>Nuevos desafíos para Educación en Chile: Apoyos a la vida independiente de adultos con discapacidad intelectual o del desarrollo</t>
        </is>
      </c>
      <c r="D58" t="inlineStr">
        <is>
          <t>Herbert Spencer González, Katherine Exss Cid</t>
        </is>
      </c>
      <c r="E58" t="inlineStr">
        <is>
          <t>Diseño y vida independiente</t>
        </is>
      </c>
      <c r="F58" t="inlineStr">
        <is>
          <t>Fundamentos disciplinares</t>
        </is>
      </c>
      <c r="G58" t="inlineStr">
        <is>
          <t>proyectual</t>
        </is>
      </c>
      <c r="H58" t="inlineStr">
        <is>
          <t>no</t>
        </is>
      </c>
      <c r="I58" t="inlineStr">
        <is>
          <t>alta</t>
        </is>
      </c>
      <c r="J58" t="inlineStr">
        <is>
          <t>no</t>
        </is>
      </c>
    </row>
    <row r="59">
      <c r="A59" t="inlineStr">
        <is>
          <t>PRY-055</t>
        </is>
      </c>
      <c r="B59" t="n">
        <v>2019</v>
      </c>
      <c r="C59" t="inlineStr">
        <is>
          <t>Núcleo de Investigación en Estudios de Inclusión y Accesibilidad</t>
        </is>
      </c>
      <c r="D59" t="inlineStr">
        <is>
          <t>Herbert Spencer González, David Luza Cornejo, Katherine Exss Cid</t>
        </is>
      </c>
      <c r="E59" t="inlineStr">
        <is>
          <t>Accesibilidad e inclusión</t>
        </is>
      </c>
      <c r="F59" t="inlineStr">
        <is>
          <t>Fundamentos disciplinares</t>
        </is>
      </c>
      <c r="G59" t="inlineStr">
        <is>
          <t>proyectual</t>
        </is>
      </c>
      <c r="H59" t="inlineStr">
        <is>
          <t>no</t>
        </is>
      </c>
      <c r="I59" t="inlineStr">
        <is>
          <t>alta</t>
        </is>
      </c>
      <c r="J59" t="inlineStr">
        <is>
          <t>no</t>
        </is>
      </c>
    </row>
    <row r="60">
      <c r="A60" t="inlineStr">
        <is>
          <t>PRY-056</t>
        </is>
      </c>
      <c r="B60" t="n">
        <v>2019</v>
      </c>
      <c r="C60" t="inlineStr">
        <is>
          <t>Re-presentando la extensión Sudamericana: Compilación de la geo-poética de Mar Interior en las Travesías de Amereida</t>
        </is>
      </c>
      <c r="D60" t="inlineStr">
        <is>
          <t>Álvaro Mercado Jara</t>
        </is>
      </c>
      <c r="E60" t="inlineStr">
        <is>
          <t>Travesías y geopoética</t>
        </is>
      </c>
      <c r="F60" t="inlineStr">
        <is>
          <t>Prácticas proyectuales</t>
        </is>
      </c>
      <c r="G60" t="inlineStr">
        <is>
          <t>proyectual</t>
        </is>
      </c>
      <c r="H60" t="inlineStr">
        <is>
          <t>no</t>
        </is>
      </c>
      <c r="I60" t="inlineStr">
        <is>
          <t>alta</t>
        </is>
      </c>
      <c r="J60" t="inlineStr">
        <is>
          <t>no</t>
        </is>
      </c>
    </row>
    <row r="61">
      <c r="A61" t="inlineStr">
        <is>
          <t>PRY-057</t>
        </is>
      </c>
      <c r="B61" t="n">
        <v>2019</v>
      </c>
      <c r="C61" t="inlineStr">
        <is>
          <t>Travesias a pueblos originarios: Extension del aula al territorio</t>
        </is>
      </c>
      <c r="D61" t="inlineStr">
        <is>
          <t>Rodrigo Saavedra Venegas</t>
        </is>
      </c>
      <c r="E61" t="inlineStr">
        <is>
          <t>Arquitectura como medio didáctico</t>
        </is>
      </c>
      <c r="F61" t="inlineStr">
        <is>
          <t>Fundamentos disciplinares</t>
        </is>
      </c>
      <c r="G61" t="inlineStr">
        <is>
          <t>proyectual</t>
        </is>
      </c>
      <c r="H61" t="inlineStr">
        <is>
          <t>no</t>
        </is>
      </c>
      <c r="I61" t="inlineStr">
        <is>
          <t>media</t>
        </is>
      </c>
      <c r="J61" t="inlineStr">
        <is>
          <t>sí</t>
        </is>
      </c>
    </row>
    <row r="62">
      <c r="A62" t="inlineStr">
        <is>
          <t>PRY-058</t>
        </is>
      </c>
      <c r="B62" t="n">
        <v>2020</v>
      </c>
      <c r="C62" t="inlineStr">
        <is>
          <t>Amereida first volume</t>
        </is>
      </c>
      <c r="D62" t="inlineStr">
        <is>
          <t>Manuel Sanfuentes</t>
        </is>
      </c>
      <c r="E62" t="inlineStr">
        <is>
          <t>Poesía y oficio</t>
        </is>
      </c>
      <c r="F62" t="inlineStr">
        <is>
          <t>Fundamentos disciplinares</t>
        </is>
      </c>
      <c r="G62" t="inlineStr">
        <is>
          <t>teórico</t>
        </is>
      </c>
      <c r="H62" t="inlineStr">
        <is>
          <t>no</t>
        </is>
      </c>
      <c r="I62" t="inlineStr">
        <is>
          <t>media</t>
        </is>
      </c>
      <c r="J62" t="inlineStr">
        <is>
          <t>sí</t>
        </is>
      </c>
    </row>
    <row r="63">
      <c r="A63" t="inlineStr">
        <is>
          <t>PRY-059</t>
        </is>
      </c>
      <c r="B63" t="n">
        <v>2020</v>
      </c>
      <c r="C63" t="inlineStr">
        <is>
          <t>Americas translated place</t>
        </is>
      </c>
      <c r="D63" t="inlineStr">
        <is>
          <t>Manuel Sanfuentes, Isabel M. Reyes</t>
        </is>
      </c>
      <c r="E63" t="inlineStr">
        <is>
          <t>Travesías y geopoética</t>
        </is>
      </c>
      <c r="F63" t="inlineStr">
        <is>
          <t>Prácticas proyectuales</t>
        </is>
      </c>
      <c r="G63" t="inlineStr">
        <is>
          <t>proyectual</t>
        </is>
      </c>
      <c r="H63" t="inlineStr">
        <is>
          <t>no</t>
        </is>
      </c>
      <c r="I63" t="inlineStr">
        <is>
          <t>media</t>
        </is>
      </c>
      <c r="J63" t="inlineStr">
        <is>
          <t>sí</t>
        </is>
      </c>
    </row>
    <row r="64">
      <c r="A64" t="inlineStr">
        <is>
          <t>PRY-060</t>
        </is>
      </c>
      <c r="B64" t="n">
        <v>2020</v>
      </c>
      <c r="C64" t="inlineStr">
        <is>
          <t>Artefactos de diseño para la objetualización del vacío expresivo en los talleres de diseño de la Escuela de Arquitectura y Diseño PUCV.</t>
        </is>
      </c>
      <c r="D64" t="inlineStr">
        <is>
          <t>Alfred Thiers Jusan, Jaime Reyes Gil</t>
        </is>
      </c>
      <c r="E64" t="inlineStr">
        <is>
          <t>Formación en pensamiento y acción creativa</t>
        </is>
      </c>
      <c r="F64" t="inlineStr">
        <is>
          <t>Fundamentos disciplinares</t>
        </is>
      </c>
      <c r="G64" t="inlineStr">
        <is>
          <t>proyectual</t>
        </is>
      </c>
      <c r="H64" t="inlineStr">
        <is>
          <t>no</t>
        </is>
      </c>
      <c r="I64" t="inlineStr">
        <is>
          <t>media</t>
        </is>
      </c>
      <c r="J64" t="inlineStr">
        <is>
          <t>sí</t>
        </is>
      </c>
    </row>
    <row r="65">
      <c r="A65" t="inlineStr">
        <is>
          <t>PRY-061</t>
        </is>
      </c>
      <c r="B65" t="n">
        <v>2020</v>
      </c>
      <c r="C65" t="inlineStr">
        <is>
          <t>El aula en el territorio: Refiguraciones del espacio de aprendizaje mediante la definición de criterios arquitectónicos que ponen en valor la extensión (exterior, aire libre) del aula en el territorio.</t>
        </is>
      </c>
      <c r="D65" t="inlineStr">
        <is>
          <t>Rodrigo Saavedra Venegas</t>
        </is>
      </c>
      <c r="E65" t="inlineStr">
        <is>
          <t>Diseño de espacios educativos</t>
        </is>
      </c>
      <c r="F65" t="inlineStr">
        <is>
          <t>Fundamentos disciplinares</t>
        </is>
      </c>
      <c r="G65" t="inlineStr">
        <is>
          <t>proyectual</t>
        </is>
      </c>
      <c r="H65" t="inlineStr">
        <is>
          <t>no</t>
        </is>
      </c>
      <c r="I65" t="inlineStr">
        <is>
          <t>alta</t>
        </is>
      </c>
      <c r="J65" t="inlineStr">
        <is>
          <t>no</t>
        </is>
      </c>
    </row>
    <row r="66">
      <c r="A66" t="inlineStr">
        <is>
          <t>PRY-062</t>
        </is>
      </c>
      <c r="B66" t="n">
        <v>2020</v>
      </c>
      <c r="C66" t="inlineStr">
        <is>
          <t>El enjambre del oficio: Configuración taxonómica de un corpus disciplinar</t>
        </is>
      </c>
      <c r="D66" t="inlineStr">
        <is>
          <t>Sylvia Arriagada Cordero</t>
        </is>
      </c>
      <c r="E66" t="inlineStr">
        <is>
          <t>Poesía y oficio</t>
        </is>
      </c>
      <c r="F66" t="inlineStr">
        <is>
          <t>Fundamentos disciplinares</t>
        </is>
      </c>
      <c r="G66" t="inlineStr">
        <is>
          <t>teórico</t>
        </is>
      </c>
      <c r="H66" t="inlineStr">
        <is>
          <t>no</t>
        </is>
      </c>
      <c r="I66" t="inlineStr">
        <is>
          <t>media</t>
        </is>
      </c>
      <c r="J66" t="inlineStr">
        <is>
          <t>sí</t>
        </is>
      </c>
    </row>
    <row r="67">
      <c r="A67" t="inlineStr">
        <is>
          <t>PRY-063</t>
        </is>
      </c>
      <c r="B67" t="n">
        <v>2020</v>
      </c>
      <c r="C67" t="inlineStr">
        <is>
          <t>El grabado en la formación del diseño gráfico: La tonalidad del fotograbado en la investigación del color bajo el mar</t>
        </is>
      </c>
      <c r="D67" t="inlineStr">
        <is>
          <t>Alejandro Garretón</t>
        </is>
      </c>
      <c r="E67" t="inlineStr">
        <is>
          <t>Comunicación visual, diseño editorial y exposición material</t>
        </is>
      </c>
      <c r="F67" t="inlineStr">
        <is>
          <t>Fundamentos disciplinares</t>
        </is>
      </c>
      <c r="G67" t="inlineStr">
        <is>
          <t>proyectual</t>
        </is>
      </c>
      <c r="H67" t="inlineStr">
        <is>
          <t>no</t>
        </is>
      </c>
      <c r="I67" t="inlineStr">
        <is>
          <t>media</t>
        </is>
      </c>
      <c r="J67" t="inlineStr">
        <is>
          <t>sí</t>
        </is>
      </c>
    </row>
    <row r="68">
      <c r="A68" t="inlineStr">
        <is>
          <t>PRY-064</t>
        </is>
      </c>
      <c r="B68" t="n">
        <v>2020</v>
      </c>
      <c r="C68" t="inlineStr">
        <is>
          <t>Elaboración de modelo de planificación de inversiones</t>
        </is>
      </c>
      <c r="D68" t="inlineStr">
        <is>
          <t>Lorena Herrera Ponce</t>
        </is>
      </c>
      <c r="E68" t="inlineStr">
        <is>
          <t>Evaluación social y políticas públicas de inversión</t>
        </is>
      </c>
      <c r="F68" t="inlineStr">
        <is>
          <t>Prácticas proyectuales</t>
        </is>
      </c>
      <c r="G68" t="inlineStr">
        <is>
          <t>teórico</t>
        </is>
      </c>
      <c r="H68" t="inlineStr">
        <is>
          <t>no</t>
        </is>
      </c>
      <c r="I68" t="inlineStr">
        <is>
          <t>alta</t>
        </is>
      </c>
      <c r="J68" t="inlineStr">
        <is>
          <t>no</t>
        </is>
      </c>
    </row>
    <row r="69">
      <c r="A69" t="inlineStr">
        <is>
          <t>PRY-065</t>
        </is>
      </c>
      <c r="B69" t="n">
        <v>2020</v>
      </c>
      <c r="C69" t="inlineStr">
        <is>
          <t>Espacialidad gráfica y el acto de leer: desde el registro a la obra</t>
        </is>
      </c>
      <c r="D69" t="inlineStr">
        <is>
          <t>Alejandro Garretón</t>
        </is>
      </c>
      <c r="E69" t="inlineStr">
        <is>
          <t>Comunicación visual, diseño editorial y exposición material</t>
        </is>
      </c>
      <c r="F69" t="inlineStr">
        <is>
          <t>Fundamentos disciplinares</t>
        </is>
      </c>
      <c r="G69" t="inlineStr">
        <is>
          <t>proyectual</t>
        </is>
      </c>
      <c r="H69" t="inlineStr">
        <is>
          <t>no</t>
        </is>
      </c>
      <c r="I69" t="inlineStr">
        <is>
          <t>media</t>
        </is>
      </c>
      <c r="J69" t="inlineStr">
        <is>
          <t>sí</t>
        </is>
      </c>
    </row>
    <row r="70">
      <c r="A70" t="inlineStr">
        <is>
          <t>PRY-066</t>
        </is>
      </c>
      <c r="B70" t="n">
        <v>2020</v>
      </c>
      <c r="C70" t="inlineStr">
        <is>
          <t>Expertos por Experiencia. El proceso de investigación inclusiva: un desafío para los nuevos tiempos</t>
        </is>
      </c>
      <c r="D70" t="inlineStr">
        <is>
          <t>Herbert Spencer González, Katherine Exss Cid</t>
        </is>
      </c>
      <c r="E70" t="inlineStr">
        <is>
          <t>Accesibilidad cognitiva y codiseño</t>
        </is>
      </c>
      <c r="F70" t="inlineStr">
        <is>
          <t>Fundamentos disciplinares</t>
        </is>
      </c>
      <c r="G70" t="inlineStr">
        <is>
          <t>proyectual</t>
        </is>
      </c>
      <c r="H70" t="inlineStr">
        <is>
          <t>no</t>
        </is>
      </c>
      <c r="I70" t="inlineStr">
        <is>
          <t>alta</t>
        </is>
      </c>
      <c r="J70" t="inlineStr">
        <is>
          <t>no</t>
        </is>
      </c>
    </row>
    <row r="71">
      <c r="A71" t="inlineStr">
        <is>
          <t>PRY-067</t>
        </is>
      </c>
      <c r="B71" t="n">
        <v>2020</v>
      </c>
      <c r="C71" t="inlineStr">
        <is>
          <t>Investigación interdisciplinaria para pregrado: PiX como lenguaje y método accesible para el codiseño</t>
        </is>
      </c>
      <c r="D71" t="inlineStr">
        <is>
          <t>Katherine Exss Cid</t>
        </is>
      </c>
      <c r="E71" t="inlineStr">
        <is>
          <t>Accesibilidad cognitiva y codiseño</t>
        </is>
      </c>
      <c r="F71" t="inlineStr">
        <is>
          <t>Fundamentos disciplinares</t>
        </is>
      </c>
      <c r="G71" t="inlineStr">
        <is>
          <t>proyectual</t>
        </is>
      </c>
      <c r="H71" t="inlineStr">
        <is>
          <t>no</t>
        </is>
      </c>
      <c r="I71" t="inlineStr">
        <is>
          <t>alta</t>
        </is>
      </c>
      <c r="J71" t="inlineStr">
        <is>
          <t>no</t>
        </is>
      </c>
    </row>
    <row r="72">
      <c r="A72" t="inlineStr">
        <is>
          <t>PRY-068</t>
        </is>
      </c>
      <c r="B72" t="n">
        <v>2020</v>
      </c>
      <c r="C72" t="inlineStr">
        <is>
          <t>Objeto lúdico Laberinto Coreográfico - Experiencia kinestésica del espacio arquitectónico</t>
        </is>
      </c>
      <c r="D72" t="inlineStr">
        <is>
          <t>Ursula Exss Cid</t>
        </is>
      </c>
      <c r="E72" t="inlineStr">
        <is>
          <t>Arquitectura como medio didáctico</t>
        </is>
      </c>
      <c r="F72" t="inlineStr">
        <is>
          <t>Fundamentos disciplinares</t>
        </is>
      </c>
      <c r="G72" t="inlineStr">
        <is>
          <t>proyectual</t>
        </is>
      </c>
      <c r="H72" t="inlineStr">
        <is>
          <t>no</t>
        </is>
      </c>
      <c r="I72" t="inlineStr">
        <is>
          <t>media</t>
        </is>
      </c>
      <c r="J72" t="inlineStr">
        <is>
          <t>sí</t>
        </is>
      </c>
    </row>
    <row r="73">
      <c r="A73" t="inlineStr">
        <is>
          <t>PRY-069</t>
        </is>
      </c>
      <c r="B73" t="n">
        <v>2020</v>
      </c>
      <c r="C73" t="inlineStr">
        <is>
          <t>PiX como lenguaje y método accesible para el co-diseño</t>
        </is>
      </c>
      <c r="D73" t="inlineStr">
        <is>
          <t>Katherine Exss Cid</t>
        </is>
      </c>
      <c r="E73" t="inlineStr">
        <is>
          <t>Accesibilidad cognitiva y codiseño</t>
        </is>
      </c>
      <c r="F73" t="inlineStr">
        <is>
          <t>Fundamentos disciplinares</t>
        </is>
      </c>
      <c r="G73" t="inlineStr">
        <is>
          <t>proyectual</t>
        </is>
      </c>
      <c r="H73" t="inlineStr">
        <is>
          <t>no</t>
        </is>
      </c>
      <c r="I73" t="inlineStr">
        <is>
          <t>alta</t>
        </is>
      </c>
      <c r="J73" t="inlineStr">
        <is>
          <t>no</t>
        </is>
      </c>
    </row>
    <row r="74">
      <c r="A74" t="inlineStr">
        <is>
          <t>PRY-070</t>
        </is>
      </c>
      <c r="B74" t="n">
        <v>2020</v>
      </c>
      <c r="C74" t="inlineStr">
        <is>
          <t>Proyecto, resistencia y exploración tipológica en edificios escolares modernos (Chile 1940-1980)</t>
        </is>
      </c>
      <c r="D74" t="inlineStr">
        <is>
          <t>Ursula Exss Cid</t>
        </is>
      </c>
      <c r="E74" t="inlineStr">
        <is>
          <t>Proyecto de arquitectura escolar</t>
        </is>
      </c>
      <c r="F74" t="inlineStr">
        <is>
          <t>Fundamentos disciplinares</t>
        </is>
      </c>
      <c r="G74" t="inlineStr">
        <is>
          <t>proyectual</t>
        </is>
      </c>
      <c r="H74" t="inlineStr">
        <is>
          <t>no</t>
        </is>
      </c>
      <c r="I74" t="inlineStr">
        <is>
          <t>alta</t>
        </is>
      </c>
      <c r="J74" t="inlineStr">
        <is>
          <t>no</t>
        </is>
      </c>
    </row>
    <row r="75">
      <c r="A75" t="inlineStr">
        <is>
          <t>PRY-071</t>
        </is>
      </c>
      <c r="B75" t="n">
        <v>2020</v>
      </c>
      <c r="C75" t="inlineStr">
        <is>
          <t>Re-consolidación tipológica de las periferias patrimoniales obsolescentes: el caso del Cerro Monjas, Valparaíso</t>
        </is>
      </c>
      <c r="D75" t="inlineStr">
        <is>
          <t>Marcelo Araya Aravena</t>
        </is>
      </c>
      <c r="E75" t="inlineStr">
        <is>
          <t>Patrimonio arquitectónico y rehabilitación</t>
        </is>
      </c>
      <c r="F75" t="inlineStr">
        <is>
          <t>Prácticas proyectuales</t>
        </is>
      </c>
      <c r="G75" t="inlineStr">
        <is>
          <t>proyectual</t>
        </is>
      </c>
      <c r="H75" t="inlineStr">
        <is>
          <t>no</t>
        </is>
      </c>
      <c r="I75" t="inlineStr">
        <is>
          <t>alta</t>
        </is>
      </c>
      <c r="J75" t="inlineStr">
        <is>
          <t>no</t>
        </is>
      </c>
    </row>
    <row r="76">
      <c r="A76" t="inlineStr">
        <is>
          <t>PRY-072</t>
        </is>
      </c>
      <c r="B76" t="n">
        <v>2020</v>
      </c>
      <c r="C76" t="inlineStr">
        <is>
          <t>Rizoma: Composiciones escénicas colectivas en el territorio</t>
        </is>
      </c>
      <c r="D76" t="inlineStr">
        <is>
          <t>Andrés Garcés Alzamora</t>
        </is>
      </c>
      <c r="E76" t="inlineStr">
        <is>
          <t>Ciudad-teatro y apropiación escénica del espacio público</t>
        </is>
      </c>
      <c r="F76" t="inlineStr">
        <is>
          <t>Prácticas proyectuales</t>
        </is>
      </c>
      <c r="G76" t="inlineStr">
        <is>
          <t>proyectual</t>
        </is>
      </c>
      <c r="H76" t="inlineStr">
        <is>
          <t>no</t>
        </is>
      </c>
      <c r="I76" t="inlineStr">
        <is>
          <t>alta</t>
        </is>
      </c>
      <c r="J76" t="inlineStr">
        <is>
          <t>no</t>
        </is>
      </c>
    </row>
    <row r="77">
      <c r="A77" t="inlineStr">
        <is>
          <t>PRY-073</t>
        </is>
      </c>
      <c r="B77" t="n">
        <v>2020</v>
      </c>
      <c r="C77" t="inlineStr">
        <is>
          <t>Vacio lúdico de un aula al aire libre: extensión del aula de la primera infancia hacia un espacio público de estimulación temprana</t>
        </is>
      </c>
      <c r="D77" t="inlineStr">
        <is>
          <t>Rodrigo Saavedra Venegas</t>
        </is>
      </c>
      <c r="E77" t="inlineStr">
        <is>
          <t>Espacios de estimulación temprana</t>
        </is>
      </c>
      <c r="F77" t="inlineStr">
        <is>
          <t>Fundamentos disciplinares</t>
        </is>
      </c>
      <c r="G77" t="inlineStr">
        <is>
          <t>proyectual</t>
        </is>
      </c>
      <c r="H77" t="inlineStr">
        <is>
          <t>no</t>
        </is>
      </c>
      <c r="I77" t="inlineStr">
        <is>
          <t>alta</t>
        </is>
      </c>
      <c r="J77" t="inlineStr">
        <is>
          <t>no</t>
        </is>
      </c>
    </row>
    <row r="78">
      <c r="A78" t="inlineStr">
        <is>
          <t>PRY-074</t>
        </is>
      </c>
      <c r="B78" t="n">
        <v>2021</v>
      </c>
      <c r="C78" t="inlineStr">
        <is>
          <t>Amereida - Documenta 14</t>
        </is>
      </c>
      <c r="D78" t="inlineStr">
        <is>
          <t>Herbert Spencer González, Manuel Sanfuentes, Daniela Salgado Cofré, Jaime Reyes Gil, Álvaro Mercado Jara, Juan Carlos Jeldes Pontio, Iván Ivelic Yanes, Andrés Garcés Alzamora, Sylvia Arriagada Cordero, Marcelo Araya Aravena, Óscar Andrade Castro</t>
        </is>
      </c>
      <c r="E78" t="inlineStr">
        <is>
          <t>Acervo histórico de Ciudad Abierta y de la Escuela de Arquitectura y Diseño</t>
        </is>
      </c>
      <c r="F78" t="inlineStr">
        <is>
          <t>Fundamentos disciplinares</t>
        </is>
      </c>
      <c r="G78" t="inlineStr">
        <is>
          <t>teórico</t>
        </is>
      </c>
      <c r="H78" t="inlineStr">
        <is>
          <t>no</t>
        </is>
      </c>
      <c r="I78" t="inlineStr">
        <is>
          <t>media</t>
        </is>
      </c>
      <c r="J78" t="inlineStr">
        <is>
          <t>sí</t>
        </is>
      </c>
    </row>
    <row r="79">
      <c r="A79" t="inlineStr">
        <is>
          <t>PRY-075</t>
        </is>
      </c>
      <c r="B79" t="n">
        <v>2021</v>
      </c>
      <c r="C79" t="inlineStr">
        <is>
          <t>Apoyos para el autocuidado y la vida independiente de adultos con discapacidad intelectual</t>
        </is>
      </c>
      <c r="D79" t="inlineStr">
        <is>
          <t>Katherine Exss Cid</t>
        </is>
      </c>
      <c r="E79" t="inlineStr">
        <is>
          <t>Diseño y vida independiente</t>
        </is>
      </c>
      <c r="F79" t="inlineStr">
        <is>
          <t>Fundamentos disciplinares</t>
        </is>
      </c>
      <c r="G79" t="inlineStr">
        <is>
          <t>proyectual</t>
        </is>
      </c>
      <c r="H79" t="inlineStr">
        <is>
          <t>no</t>
        </is>
      </c>
      <c r="I79" t="inlineStr">
        <is>
          <t>alta</t>
        </is>
      </c>
      <c r="J79" t="inlineStr">
        <is>
          <t>no</t>
        </is>
      </c>
    </row>
    <row r="80">
      <c r="A80" t="inlineStr">
        <is>
          <t>PRY-076</t>
        </is>
      </c>
      <c r="B80" t="n">
        <v>2021</v>
      </c>
      <c r="C80" t="inlineStr">
        <is>
          <t>Cartografía de Espacios Escénicos Urbanos de Valparaíso: Catálogo digital de espacios públicos quesean aptos para la realización de actividades artísticas escénicas y culturales en la ciudad</t>
        </is>
      </c>
      <c r="D80" t="inlineStr">
        <is>
          <t>Andrés Garcés Alzamora</t>
        </is>
      </c>
      <c r="E80" t="inlineStr">
        <is>
          <t>Ciudad-teatro y apropiación escénica del espacio público</t>
        </is>
      </c>
      <c r="F80" t="inlineStr">
        <is>
          <t>Prácticas proyectuales</t>
        </is>
      </c>
      <c r="G80" t="inlineStr">
        <is>
          <t>proyectual</t>
        </is>
      </c>
      <c r="H80" t="inlineStr">
        <is>
          <t>no</t>
        </is>
      </c>
      <c r="I80" t="inlineStr">
        <is>
          <t>alta</t>
        </is>
      </c>
      <c r="J80" t="inlineStr">
        <is>
          <t>no</t>
        </is>
      </c>
    </row>
    <row r="81">
      <c r="A81" t="inlineStr">
        <is>
          <t>PRY-077</t>
        </is>
      </c>
      <c r="B81" t="n">
        <v>2021</v>
      </c>
      <c r="C81" t="inlineStr">
        <is>
          <t>Diseño para la enseñanza de la escritura en modalidad remota</t>
        </is>
      </c>
      <c r="D81" t="inlineStr">
        <is>
          <t>Herbert Spencer González</t>
        </is>
      </c>
      <c r="E81" t="inlineStr">
        <is>
          <t>Medios de aprendizaje en arquitectura y diseño</t>
        </is>
      </c>
      <c r="F81" t="inlineStr">
        <is>
          <t>Fundamentos disciplinares</t>
        </is>
      </c>
      <c r="G81" t="inlineStr">
        <is>
          <t>proyectual</t>
        </is>
      </c>
      <c r="H81" t="inlineStr">
        <is>
          <t>no</t>
        </is>
      </c>
      <c r="I81" t="inlineStr">
        <is>
          <t>media</t>
        </is>
      </c>
      <c r="J81" t="inlineStr">
        <is>
          <t>sí</t>
        </is>
      </c>
    </row>
    <row r="82">
      <c r="A82" t="inlineStr">
        <is>
          <t>PRY-078</t>
        </is>
      </c>
      <c r="B82" t="n">
        <v>2021</v>
      </c>
      <c r="C82" t="inlineStr">
        <is>
          <t>Formas, vetas y re-territorialidades de las arcillas de Valparaíso</t>
        </is>
      </c>
      <c r="D82" t="inlineStr">
        <is>
          <t>Daniela Salgado Cofré, Álvaro Mercado Jara</t>
        </is>
      </c>
      <c r="E82" t="inlineStr">
        <is>
          <t>Diseño social, territorial y patrimonio cultural</t>
        </is>
      </c>
      <c r="F82" t="inlineStr">
        <is>
          <t>Prácticas proyectuales</t>
        </is>
      </c>
      <c r="G82" t="inlineStr">
        <is>
          <t>proyectual</t>
        </is>
      </c>
      <c r="H82" t="inlineStr">
        <is>
          <t>no</t>
        </is>
      </c>
      <c r="I82" t="inlineStr">
        <is>
          <t>media</t>
        </is>
      </c>
      <c r="J82" t="inlineStr">
        <is>
          <t>sí</t>
        </is>
      </c>
    </row>
    <row r="83">
      <c r="A83" t="inlineStr">
        <is>
          <t>PRY-079</t>
        </is>
      </c>
      <c r="B83" t="n">
        <v>2021</v>
      </c>
      <c r="C83" t="inlineStr">
        <is>
          <t>Inhabit, culture and territory: designing with community knowledge. Tools for co-evaluating and co-designing visual information for emergencies</t>
        </is>
      </c>
      <c r="D83" t="inlineStr">
        <is>
          <t>Michèle Wilkomirsky Uribe</t>
        </is>
      </c>
      <c r="E83" t="inlineStr">
        <is>
          <t>Comunicación visual, diseño editorial y exposición material</t>
        </is>
      </c>
      <c r="F83" t="inlineStr">
        <is>
          <t>Fundamentos disciplinares</t>
        </is>
      </c>
      <c r="G83" t="inlineStr">
        <is>
          <t>proyectual</t>
        </is>
      </c>
      <c r="H83" t="inlineStr">
        <is>
          <t>no</t>
        </is>
      </c>
      <c r="I83" t="inlineStr">
        <is>
          <t>media</t>
        </is>
      </c>
      <c r="J83" t="inlineStr">
        <is>
          <t>sí</t>
        </is>
      </c>
    </row>
    <row r="84">
      <c r="A84" t="inlineStr">
        <is>
          <t>PRY-080</t>
        </is>
      </c>
      <c r="B84" t="n">
        <v>2021</v>
      </c>
      <c r="C84" t="inlineStr">
        <is>
          <t>Kinesis, la geometría Intangible entre cuerpo y lugar, Folio 635838</t>
        </is>
      </c>
      <c r="D84" t="inlineStr">
        <is>
          <t>Andrés Garcés Alzamora</t>
        </is>
      </c>
      <c r="E84" t="inlineStr">
        <is>
          <t>Ciudad-teatro y apropiación escénica del espacio público</t>
        </is>
      </c>
      <c r="F84" t="inlineStr">
        <is>
          <t>Prácticas proyectuales</t>
        </is>
      </c>
      <c r="G84" t="inlineStr">
        <is>
          <t>proyectual</t>
        </is>
      </c>
      <c r="H84" t="inlineStr">
        <is>
          <t>no</t>
        </is>
      </c>
      <c r="I84" t="inlineStr">
        <is>
          <t>media</t>
        </is>
      </c>
      <c r="J84" t="inlineStr">
        <is>
          <t>sí</t>
        </is>
      </c>
    </row>
    <row r="85">
      <c r="A85" t="inlineStr">
        <is>
          <t>PRY-081</t>
        </is>
      </c>
      <c r="B85" t="n">
        <v>2021</v>
      </c>
      <c r="C85" t="inlineStr">
        <is>
          <t>Kinesis: el cuerpo, los actos, el espacio arquitectónico y la extensión</t>
        </is>
      </c>
      <c r="D85" t="inlineStr">
        <is>
          <t>Andrés Garcés Alzamora</t>
        </is>
      </c>
      <c r="E85" t="inlineStr">
        <is>
          <t>Ciudad-teatro y apropiación escénica del espacio público</t>
        </is>
      </c>
      <c r="F85" t="inlineStr">
        <is>
          <t>Prácticas proyectuales</t>
        </is>
      </c>
      <c r="G85" t="inlineStr">
        <is>
          <t>proyectual</t>
        </is>
      </c>
      <c r="H85" t="inlineStr">
        <is>
          <t>no</t>
        </is>
      </c>
      <c r="I85" t="inlineStr">
        <is>
          <t>media</t>
        </is>
      </c>
      <c r="J85" t="inlineStr">
        <is>
          <t>sí</t>
        </is>
      </c>
    </row>
    <row r="86">
      <c r="A86" t="inlineStr">
        <is>
          <t>PRY-082</t>
        </is>
      </c>
      <c r="B86" t="n">
        <v>2021</v>
      </c>
      <c r="C86" t="inlineStr">
        <is>
          <t>Pedagogía de la luz: dispositivos arquitectónicos para el diseño y estudio de la luz natural</t>
        </is>
      </c>
      <c r="D86" t="inlineStr">
        <is>
          <t>Óscar Andrade Castro</t>
        </is>
      </c>
      <c r="E86" t="inlineStr">
        <is>
          <t>Arquitectura como medio didáctico</t>
        </is>
      </c>
      <c r="F86" t="inlineStr">
        <is>
          <t>Fundamentos disciplinares</t>
        </is>
      </c>
      <c r="G86" t="inlineStr">
        <is>
          <t>proyectual</t>
        </is>
      </c>
      <c r="H86" t="inlineStr">
        <is>
          <t>no</t>
        </is>
      </c>
      <c r="I86" t="inlineStr">
        <is>
          <t>alta</t>
        </is>
      </c>
      <c r="J86" t="inlineStr">
        <is>
          <t>no</t>
        </is>
      </c>
    </row>
    <row r="87">
      <c r="A87" t="inlineStr">
        <is>
          <t>PRY-083</t>
        </is>
      </c>
      <c r="B87" t="n">
        <v>2021</v>
      </c>
      <c r="C87" t="inlineStr">
        <is>
          <t>Prácticas Experimentales escala 1:1; Contribuciones en la Formación, Creacion e Investigación en Arquitectura</t>
        </is>
      </c>
      <c r="D87" t="inlineStr">
        <is>
          <t>Iván Ivelic Yanes</t>
        </is>
      </c>
      <c r="E87" t="inlineStr">
        <is>
          <t>Arquitectura como medio didáctico</t>
        </is>
      </c>
      <c r="F87" t="inlineStr">
        <is>
          <t>Fundamentos disciplinares</t>
        </is>
      </c>
      <c r="G87" t="inlineStr">
        <is>
          <t>proyectual</t>
        </is>
      </c>
      <c r="H87" t="inlineStr">
        <is>
          <t>no</t>
        </is>
      </c>
      <c r="I87" t="inlineStr">
        <is>
          <t>alta</t>
        </is>
      </c>
      <c r="J87" t="inlineStr">
        <is>
          <t>no</t>
        </is>
      </c>
    </row>
    <row r="88">
      <c r="A88" t="inlineStr">
        <is>
          <t>PRY-084</t>
        </is>
      </c>
      <c r="B88" t="n">
        <v>2021</v>
      </c>
      <c r="C88" t="inlineStr">
        <is>
          <t>Transición - Una oportunidad para la improvisación informada</t>
        </is>
      </c>
      <c r="D88" t="inlineStr">
        <is>
          <t>Iván Ivelic Yanes</t>
        </is>
      </c>
      <c r="E88" t="inlineStr">
        <is>
          <t>Formación en pensamiento y acción creativa</t>
        </is>
      </c>
      <c r="F88" t="inlineStr">
        <is>
          <t>Fundamentos disciplinares</t>
        </is>
      </c>
      <c r="G88" t="inlineStr">
        <is>
          <t>proyectual</t>
        </is>
      </c>
      <c r="H88" t="inlineStr">
        <is>
          <t>no</t>
        </is>
      </c>
      <c r="I88" t="inlineStr">
        <is>
          <t>baja</t>
        </is>
      </c>
      <c r="J88" t="inlineStr">
        <is>
          <t>sí</t>
        </is>
      </c>
    </row>
    <row r="89">
      <c r="A89" t="inlineStr">
        <is>
          <t>PRY-085</t>
        </is>
      </c>
      <c r="B89" t="n">
        <v>2022</v>
      </c>
      <c r="C89" t="inlineStr">
        <is>
          <t>Aprendizaje a través de Tecnologías de Interacción en Diseño</t>
        </is>
      </c>
      <c r="D89" t="inlineStr">
        <is>
          <t>Daniela Salgado Cofré, Leonardo Aravena</t>
        </is>
      </c>
      <c r="E89" t="inlineStr">
        <is>
          <t>Medios de aprendizaje en arquitectura y diseño</t>
        </is>
      </c>
      <c r="F89" t="inlineStr">
        <is>
          <t>Fundamentos disciplinares</t>
        </is>
      </c>
      <c r="G89" t="inlineStr">
        <is>
          <t>proyectual</t>
        </is>
      </c>
      <c r="H89" t="inlineStr">
        <is>
          <t>sí</t>
        </is>
      </c>
      <c r="I89" t="inlineStr">
        <is>
          <t>media</t>
        </is>
      </c>
      <c r="J89" t="inlineStr">
        <is>
          <t>sí</t>
        </is>
      </c>
    </row>
    <row r="90">
      <c r="A90" t="inlineStr">
        <is>
          <t>PRY-086</t>
        </is>
      </c>
      <c r="B90" t="n">
        <v>2022</v>
      </c>
      <c r="C90" t="inlineStr">
        <is>
          <t>Arquitectura moderna y ciudad: el proyecto urbano ante el desafío del desarrollo. Chile 1930-1980</t>
        </is>
      </c>
      <c r="D90" t="inlineStr">
        <is>
          <t>Ursula Exss Cid</t>
        </is>
      </c>
      <c r="E90" t="inlineStr">
        <is>
          <t>Arquitectura moderna y habitar latinoamericano</t>
        </is>
      </c>
      <c r="F90" t="inlineStr">
        <is>
          <t>Fundamentos disciplinares</t>
        </is>
      </c>
      <c r="G90" t="inlineStr">
        <is>
          <t>teórico</t>
        </is>
      </c>
      <c r="H90" t="inlineStr">
        <is>
          <t>sí</t>
        </is>
      </c>
      <c r="I90" t="inlineStr">
        <is>
          <t>alta</t>
        </is>
      </c>
      <c r="J90" t="inlineStr">
        <is>
          <t>no</t>
        </is>
      </c>
    </row>
    <row r="91">
      <c r="A91" t="inlineStr">
        <is>
          <t>PRY-087</t>
        </is>
      </c>
      <c r="B91" t="n">
        <v>2022</v>
      </c>
      <c r="C91" t="inlineStr">
        <is>
          <t>Arquitectura y escuelas barriales de Valparaíso</t>
        </is>
      </c>
      <c r="D91" t="inlineStr">
        <is>
          <t>Ursula Exss Cid</t>
        </is>
      </c>
      <c r="E91" t="inlineStr">
        <is>
          <t>Proyecto de arquitectura escolar</t>
        </is>
      </c>
      <c r="F91" t="inlineStr">
        <is>
          <t>Fundamentos disciplinares</t>
        </is>
      </c>
      <c r="G91" t="inlineStr">
        <is>
          <t>proyectual</t>
        </is>
      </c>
      <c r="H91" t="inlineStr">
        <is>
          <t>sí</t>
        </is>
      </c>
      <c r="I91" t="inlineStr">
        <is>
          <t>alta</t>
        </is>
      </c>
      <c r="J91" t="inlineStr">
        <is>
          <t>no</t>
        </is>
      </c>
    </row>
    <row r="92">
      <c r="A92" t="inlineStr">
        <is>
          <t>PRY-088</t>
        </is>
      </c>
      <c r="B92" t="n">
        <v>2022</v>
      </c>
      <c r="C92" t="inlineStr">
        <is>
          <t>Bitácoras de vida, trabajo y estudio. Cuadernos de Fabio Cruz, Manuel Casanueva y José Balcells</t>
        </is>
      </c>
      <c r="D92" t="inlineStr">
        <is>
          <t>Jaime Reyes Gil</t>
        </is>
      </c>
      <c r="E92" t="inlineStr">
        <is>
          <t>Acervo histórico de Ciudad Abierta y de la Escuela de Arquitectura y Diseño</t>
        </is>
      </c>
      <c r="F92" t="inlineStr">
        <is>
          <t>Fundamentos disciplinares</t>
        </is>
      </c>
      <c r="G92" t="inlineStr">
        <is>
          <t>teórico</t>
        </is>
      </c>
      <c r="H92" t="inlineStr">
        <is>
          <t>sí</t>
        </is>
      </c>
      <c r="I92" t="inlineStr">
        <is>
          <t>alta</t>
        </is>
      </c>
      <c r="J92" t="inlineStr">
        <is>
          <t>no</t>
        </is>
      </c>
    </row>
    <row r="93">
      <c r="A93" t="inlineStr">
        <is>
          <t>PRY-089</t>
        </is>
      </c>
      <c r="B93" t="n">
        <v>2022</v>
      </c>
      <c r="C93" t="inlineStr">
        <is>
          <t>Conocimiento tácito en el estudio de la luz natural: los modelos 1:1 como estrategia de aprendizaje.</t>
        </is>
      </c>
      <c r="D93" t="inlineStr">
        <is>
          <t>Iván Ivelic Yanes, Óscar Andrade Castro</t>
        </is>
      </c>
      <c r="E93" t="inlineStr">
        <is>
          <t>Arquitectura como medio didáctico</t>
        </is>
      </c>
      <c r="F93" t="inlineStr">
        <is>
          <t>Fundamentos disciplinares</t>
        </is>
      </c>
      <c r="G93" t="inlineStr">
        <is>
          <t>proyectual</t>
        </is>
      </c>
      <c r="H93" t="inlineStr">
        <is>
          <t>sí</t>
        </is>
      </c>
      <c r="I93" t="inlineStr">
        <is>
          <t>alta</t>
        </is>
      </c>
      <c r="J93" t="inlineStr">
        <is>
          <t>no</t>
        </is>
      </c>
    </row>
    <row r="94">
      <c r="A94" t="inlineStr">
        <is>
          <t>PRY-090</t>
        </is>
      </c>
      <c r="B94" t="n">
        <v>2022</v>
      </c>
      <c r="C94" t="inlineStr">
        <is>
          <t>Crafting Methods in Design Research (Chile/Belgium)</t>
        </is>
      </c>
      <c r="D94" t="inlineStr">
        <is>
          <t>Daniela Salgado Cofré, Álvaro Mercado Jara</t>
        </is>
      </c>
      <c r="E94" t="inlineStr">
        <is>
          <t>Métodos de diseño</t>
        </is>
      </c>
      <c r="F94" t="inlineStr">
        <is>
          <t>Fundamentos disciplinares</t>
        </is>
      </c>
      <c r="G94" t="inlineStr">
        <is>
          <t>proyectual</t>
        </is>
      </c>
      <c r="H94" t="inlineStr">
        <is>
          <t>sí</t>
        </is>
      </c>
      <c r="I94" t="inlineStr">
        <is>
          <t>alta</t>
        </is>
      </c>
      <c r="J94" t="inlineStr">
        <is>
          <t>no</t>
        </is>
      </c>
    </row>
    <row r="95">
      <c r="A95" t="inlineStr">
        <is>
          <t>PRY-091</t>
        </is>
      </c>
      <c r="B95" t="n">
        <v>2022</v>
      </c>
      <c r="C95" t="inlineStr">
        <is>
          <t>DIE Incentiva en el Aula Asociativo</t>
        </is>
      </c>
      <c r="D95" t="inlineStr">
        <is>
          <t>Daniela Salgado Cofré, Álvaro Mercado Jara</t>
        </is>
      </c>
      <c r="E95" t="inlineStr">
        <is>
          <t>Medios de aprendizaje en arquitectura y diseño</t>
        </is>
      </c>
      <c r="F95" t="inlineStr">
        <is>
          <t>Fundamentos disciplinares</t>
        </is>
      </c>
      <c r="G95" t="inlineStr">
        <is>
          <t>proyectual</t>
        </is>
      </c>
      <c r="H95" t="inlineStr">
        <is>
          <t>sí</t>
        </is>
      </c>
      <c r="I95" t="inlineStr">
        <is>
          <t>baja</t>
        </is>
      </c>
      <c r="J95" t="inlineStr">
        <is>
          <t>sí</t>
        </is>
      </c>
    </row>
    <row r="96">
      <c r="A96" t="inlineStr">
        <is>
          <t>PRY-092</t>
        </is>
      </c>
      <c r="B96" t="n">
        <v>2022</v>
      </c>
      <c r="C96" t="inlineStr">
        <is>
          <t>El estudio de la luz natural como conocimiento tácito en el currículum de arquitectura</t>
        </is>
      </c>
      <c r="D96" t="inlineStr">
        <is>
          <t>Óscar Andrade Castro</t>
        </is>
      </c>
      <c r="E96" t="inlineStr">
        <is>
          <t>Arquitectura como medio didáctico</t>
        </is>
      </c>
      <c r="F96" t="inlineStr">
        <is>
          <t>Fundamentos disciplinares</t>
        </is>
      </c>
      <c r="G96" t="inlineStr">
        <is>
          <t>proyectual</t>
        </is>
      </c>
      <c r="H96" t="inlineStr">
        <is>
          <t>sí</t>
        </is>
      </c>
      <c r="I96" t="inlineStr">
        <is>
          <t>alta</t>
        </is>
      </c>
      <c r="J96" t="inlineStr">
        <is>
          <t>no</t>
        </is>
      </c>
    </row>
    <row r="97">
      <c r="A97" t="inlineStr">
        <is>
          <t>PRY-093</t>
        </is>
      </c>
      <c r="B97" t="n">
        <v>2022</v>
      </c>
      <c r="C97" t="inlineStr">
        <is>
          <t>Feria-Gradería: flexibilidad arquitectónica para la articulación social y cultural del territorio</t>
        </is>
      </c>
      <c r="D97" t="inlineStr">
        <is>
          <t>Rodrigo Saavedra Venegas</t>
        </is>
      </c>
      <c r="E97" t="inlineStr">
        <is>
          <t>Movilidad, infraestructura urbana y equipamiento</t>
        </is>
      </c>
      <c r="F97" t="inlineStr">
        <is>
          <t>Prácticas proyectuales</t>
        </is>
      </c>
      <c r="G97" t="inlineStr">
        <is>
          <t>proyectual</t>
        </is>
      </c>
      <c r="H97" t="inlineStr">
        <is>
          <t>sí</t>
        </is>
      </c>
      <c r="I97" t="inlineStr">
        <is>
          <t>media</t>
        </is>
      </c>
      <c r="J97" t="inlineStr">
        <is>
          <t>sí</t>
        </is>
      </c>
    </row>
    <row r="98">
      <c r="A98" t="inlineStr">
        <is>
          <t>PRY-094</t>
        </is>
      </c>
      <c r="B98" t="n">
        <v>2022</v>
      </c>
      <c r="C98" t="inlineStr">
        <is>
          <t>Geografías de la transitoriedad residencial: mercados, formas y prácticas del arriendo en Chile. Fondecyt n° 1221332</t>
        </is>
      </c>
      <c r="D98" t="inlineStr">
        <is>
          <t>Adriana Marín Toro</t>
        </is>
      </c>
      <c r="E98" t="inlineStr">
        <is>
          <t>Vivienda, financiarización y políticas habitacionales</t>
        </is>
      </c>
      <c r="F98" t="inlineStr">
        <is>
          <t>Prácticas proyectuales</t>
        </is>
      </c>
      <c r="G98" t="inlineStr">
        <is>
          <t>teórico</t>
        </is>
      </c>
      <c r="H98" t="inlineStr">
        <is>
          <t>sí</t>
        </is>
      </c>
      <c r="I98" t="inlineStr">
        <is>
          <t>alta</t>
        </is>
      </c>
      <c r="J98" t="inlineStr">
        <is>
          <t>no</t>
        </is>
      </c>
    </row>
    <row r="99">
      <c r="A99" t="inlineStr">
        <is>
          <t>PRY-095</t>
        </is>
      </c>
      <c r="B99" t="n">
        <v>2022</v>
      </c>
      <c r="C99" t="inlineStr">
        <is>
          <t>Holistic well-being and well-living (buen vivir) in future living environments: a posthuman and indigenous land-based approach.</t>
        </is>
      </c>
      <c r="D99" t="inlineStr">
        <is>
          <t>Iván Ivelic Yanes</t>
        </is>
      </c>
      <c r="E99" t="inlineStr">
        <is>
          <t>Perspectivas decoloniales</t>
        </is>
      </c>
      <c r="F99" t="inlineStr">
        <is>
          <t>Prácticas proyectuales</t>
        </is>
      </c>
      <c r="G99" t="inlineStr">
        <is>
          <t>teórico</t>
        </is>
      </c>
      <c r="H99" t="inlineStr">
        <is>
          <t>sí</t>
        </is>
      </c>
      <c r="I99" t="inlineStr">
        <is>
          <t>media</t>
        </is>
      </c>
      <c r="J99" t="inlineStr">
        <is>
          <t>sí</t>
        </is>
      </c>
    </row>
    <row r="100">
      <c r="A100" t="inlineStr">
        <is>
          <t>PRY-096</t>
        </is>
      </c>
      <c r="B100" t="n">
        <v>2022</v>
      </c>
      <c r="C100" t="inlineStr">
        <is>
          <t>Humedales depuradores: Reutilizando agua para la sequía.</t>
        </is>
      </c>
      <c r="D100" t="inlineStr">
        <is>
          <t>Lorena Herrera Ponce</t>
        </is>
      </c>
      <c r="E100" t="inlineStr">
        <is>
          <t>Naturaleza, paisaje y patrimonio natural</t>
        </is>
      </c>
      <c r="F100" t="inlineStr">
        <is>
          <t>Prácticas proyectuales</t>
        </is>
      </c>
      <c r="G100" t="inlineStr">
        <is>
          <t>proyectual</t>
        </is>
      </c>
      <c r="H100" t="inlineStr">
        <is>
          <t>sí</t>
        </is>
      </c>
      <c r="I100" t="inlineStr">
        <is>
          <t>media</t>
        </is>
      </c>
      <c r="J100" t="inlineStr">
        <is>
          <t>sí</t>
        </is>
      </c>
    </row>
    <row r="101">
      <c r="A101" t="inlineStr">
        <is>
          <t>PRY-097</t>
        </is>
      </c>
      <c r="B101" t="n">
        <v>2022</v>
      </c>
      <c r="C101" t="inlineStr">
        <is>
          <t>La forma que habita el espacio: la obra de diseño del arquitecto Fabio Cruz Prieto (1952-2007)</t>
        </is>
      </c>
      <c r="D101" t="inlineStr">
        <is>
          <t>Juan Carlos Jeldes Pontio, Ursula Exss Cid</t>
        </is>
      </c>
      <c r="E101" t="inlineStr">
        <is>
          <t>Acervo histórico de Ciudad Abierta y de la Escuela de Arquitectura y Diseño</t>
        </is>
      </c>
      <c r="F101" t="inlineStr">
        <is>
          <t>Fundamentos disciplinares</t>
        </is>
      </c>
      <c r="G101" t="inlineStr">
        <is>
          <t>teórico</t>
        </is>
      </c>
      <c r="H101" t="inlineStr">
        <is>
          <t>sí</t>
        </is>
      </c>
      <c r="I101" t="inlineStr">
        <is>
          <t>media</t>
        </is>
      </c>
      <c r="J101" t="inlineStr">
        <is>
          <t>sí</t>
        </is>
      </c>
    </row>
    <row r="102">
      <c r="A102" t="inlineStr">
        <is>
          <t>PRY-098</t>
        </is>
      </c>
      <c r="B102" t="n">
        <v>2022</v>
      </c>
      <c r="C102" t="inlineStr">
        <is>
          <t>Modelo de desarrollo integral para el acompañamiento de trayectorias educativas STEM/STEAM para liceos técnicos desde un enfoque de género</t>
        </is>
      </c>
      <c r="D102" t="inlineStr">
        <is>
          <t>Juan Carlos Jeldes Pontio</t>
        </is>
      </c>
      <c r="E102" t="inlineStr">
        <is>
          <t>Medios de aprendizaje en arquitectura y diseño</t>
        </is>
      </c>
      <c r="F102" t="inlineStr">
        <is>
          <t>Fundamentos disciplinares</t>
        </is>
      </c>
      <c r="G102" t="inlineStr">
        <is>
          <t>proyectual</t>
        </is>
      </c>
      <c r="H102" t="inlineStr">
        <is>
          <t>sí</t>
        </is>
      </c>
      <c r="I102" t="inlineStr">
        <is>
          <t>media</t>
        </is>
      </c>
      <c r="J102" t="inlineStr">
        <is>
          <t>sí</t>
        </is>
      </c>
    </row>
    <row r="103">
      <c r="A103" t="inlineStr">
        <is>
          <t>PRY-099</t>
        </is>
      </c>
      <c r="B103" t="n">
        <v>2022</v>
      </c>
      <c r="C103" t="inlineStr">
        <is>
          <t>Módulos trans-escalares</t>
        </is>
      </c>
      <c r="D103" t="inlineStr">
        <is>
          <t>Óscar Andrade Castro</t>
        </is>
      </c>
      <c r="E103" t="inlineStr">
        <is>
          <t>Arquitectura como medio didáctico</t>
        </is>
      </c>
      <c r="F103" t="inlineStr">
        <is>
          <t>Fundamentos disciplinares</t>
        </is>
      </c>
      <c r="G103" t="inlineStr">
        <is>
          <t>proyectual</t>
        </is>
      </c>
      <c r="H103" t="inlineStr">
        <is>
          <t>sí</t>
        </is>
      </c>
      <c r="I103" t="inlineStr">
        <is>
          <t>baja</t>
        </is>
      </c>
      <c r="J103" t="inlineStr">
        <is>
          <t>sí</t>
        </is>
      </c>
    </row>
    <row r="104">
      <c r="A104" t="inlineStr">
        <is>
          <t>PRY-100</t>
        </is>
      </c>
      <c r="B104" t="n">
        <v>2022</v>
      </c>
      <c r="C104" t="inlineStr">
        <is>
          <t>Open source VR platform for accessible collaboration in the co-imagination of the future intelligent city</t>
        </is>
      </c>
      <c r="D104" t="inlineStr">
        <is>
          <t>Herbert Spencer González</t>
        </is>
      </c>
      <c r="E104" t="inlineStr">
        <is>
          <t>Accesibilidad cognitiva y codiseño</t>
        </is>
      </c>
      <c r="F104" t="inlineStr">
        <is>
          <t>Fundamentos disciplinares</t>
        </is>
      </c>
      <c r="G104" t="inlineStr">
        <is>
          <t>proyectual</t>
        </is>
      </c>
      <c r="H104" t="inlineStr">
        <is>
          <t>sí</t>
        </is>
      </c>
      <c r="I104" t="inlineStr">
        <is>
          <t>media</t>
        </is>
      </c>
      <c r="J104" t="inlineStr">
        <is>
          <t>sí</t>
        </is>
      </c>
    </row>
    <row r="105">
      <c r="A105" t="inlineStr">
        <is>
          <t>PRY-101</t>
        </is>
      </c>
      <c r="B105" t="n">
        <v>2022</v>
      </c>
      <c r="C105" t="inlineStr">
        <is>
          <t>PICTOS: Servicio para la navegación y evaluación de la accesibilidad cognitiva de los servicios en Chile</t>
        </is>
      </c>
      <c r="D105" t="inlineStr">
        <is>
          <t>Herbert Spencer González, Katherine Exss Cid</t>
        </is>
      </c>
      <c r="E105" t="inlineStr">
        <is>
          <t>Accesibilidad cognitiva y codiseño</t>
        </is>
      </c>
      <c r="F105" t="inlineStr">
        <is>
          <t>Fundamentos disciplinares</t>
        </is>
      </c>
      <c r="G105" t="inlineStr">
        <is>
          <t>proyectual</t>
        </is>
      </c>
      <c r="H105" t="inlineStr">
        <is>
          <t>sí</t>
        </is>
      </c>
      <c r="I105" t="inlineStr">
        <is>
          <t>alta</t>
        </is>
      </c>
      <c r="J105" t="inlineStr">
        <is>
          <t>no</t>
        </is>
      </c>
    </row>
    <row r="106">
      <c r="A106" t="inlineStr">
        <is>
          <t>PRY-102</t>
        </is>
      </c>
      <c r="B106" t="n">
        <v>2022</v>
      </c>
      <c r="C106" t="inlineStr">
        <is>
          <t>Plataforma Auto Instruccional Para Determinar El Perfil Del Conocimiento Especializado Del Profesor De Matemática Y Fortalecer Aquel Conocimiento Deficiente. Proyecto Interdisciplinario PUCV-UAH-UCN, Chile; UIS, Colombia; Universidad de Oviedo, Universidad de Valladolid, España. Áreas: Matemáticas, Estadística, Ingeniería Informática, Diseño</t>
        </is>
      </c>
      <c r="D106" t="inlineStr">
        <is>
          <t>Michèle Wilkomirsky Uribe</t>
        </is>
      </c>
      <c r="E106" t="inlineStr">
        <is>
          <t>Diseño de interacción, servicios y experiencia de usuario</t>
        </is>
      </c>
      <c r="F106" t="inlineStr">
        <is>
          <t>Fundamentos disciplinares</t>
        </is>
      </c>
      <c r="G106" t="inlineStr">
        <is>
          <t>proyectual</t>
        </is>
      </c>
      <c r="H106" t="inlineStr">
        <is>
          <t>sí</t>
        </is>
      </c>
      <c r="I106" t="inlineStr">
        <is>
          <t>baja</t>
        </is>
      </c>
      <c r="J106" t="inlineStr">
        <is>
          <t>sí</t>
        </is>
      </c>
    </row>
    <row r="107">
      <c r="A107" t="inlineStr">
        <is>
          <t>PRY-103</t>
        </is>
      </c>
      <c r="B107" t="n">
        <v>2022</v>
      </c>
      <c r="C107" t="inlineStr">
        <is>
          <t>Red de ciclovías para la Población Vergara</t>
        </is>
      </c>
      <c r="D107" t="inlineStr">
        <is>
          <t>David Luza Cornejo</t>
        </is>
      </c>
      <c r="E107" t="inlineStr">
        <is>
          <t>Movilidad, infraestructura urbana y equipamiento</t>
        </is>
      </c>
      <c r="F107" t="inlineStr">
        <is>
          <t>Prácticas proyectuales</t>
        </is>
      </c>
      <c r="G107" t="inlineStr">
        <is>
          <t>proyectual</t>
        </is>
      </c>
      <c r="H107" t="inlineStr">
        <is>
          <t>sí</t>
        </is>
      </c>
      <c r="I107" t="inlineStr">
        <is>
          <t>alta</t>
        </is>
      </c>
      <c r="J107" t="inlineStr">
        <is>
          <t>no</t>
        </is>
      </c>
    </row>
    <row r="108">
      <c r="A108" t="inlineStr">
        <is>
          <t>PRY-104</t>
        </is>
      </c>
      <c r="B108" t="n">
        <v>2022</v>
      </c>
      <c r="C108" t="inlineStr">
        <is>
          <t>Tools for co-evaluating visual information for emergencies Aotearoa/Chile</t>
        </is>
      </c>
      <c r="D108" t="inlineStr">
        <is>
          <t>Michèle Wilkomirsky Uribe</t>
        </is>
      </c>
      <c r="E108" t="inlineStr">
        <is>
          <t>Comunicación visual, diseño editorial y exposición material</t>
        </is>
      </c>
      <c r="F108" t="inlineStr">
        <is>
          <t>Fundamentos disciplinares</t>
        </is>
      </c>
      <c r="G108" t="inlineStr">
        <is>
          <t>proyectual</t>
        </is>
      </c>
      <c r="H108" t="inlineStr">
        <is>
          <t>sí</t>
        </is>
      </c>
      <c r="I108" t="inlineStr">
        <is>
          <t>media</t>
        </is>
      </c>
      <c r="J108" t="inlineStr">
        <is>
          <t>sí</t>
        </is>
      </c>
    </row>
    <row r="109">
      <c r="A109" t="inlineStr">
        <is>
          <t>PRY-105</t>
        </is>
      </c>
      <c r="B109" t="n">
        <v>2023</v>
      </c>
      <c r="C109" t="inlineStr">
        <is>
          <t>AWEN - Método para evaluar el diseño de viviendas universalmente accesibles en entornos de realidad virtual (RV): Una iniciativa orientada a promover el derecho a la vida independiente de las personas con discapacidad</t>
        </is>
      </c>
      <c r="D109" t="inlineStr">
        <is>
          <t>Herbert Spencer González, Katherine Exss Cid</t>
        </is>
      </c>
      <c r="E109" t="inlineStr">
        <is>
          <t>Accesibilidad e inclusión</t>
        </is>
      </c>
      <c r="F109" t="inlineStr">
        <is>
          <t>Fundamentos disciplinares</t>
        </is>
      </c>
      <c r="G109" t="inlineStr">
        <is>
          <t>proyectual</t>
        </is>
      </c>
      <c r="H109" t="inlineStr">
        <is>
          <t>sí</t>
        </is>
      </c>
      <c r="I109" t="inlineStr">
        <is>
          <t>alta</t>
        </is>
      </c>
      <c r="J109" t="inlineStr">
        <is>
          <t>no</t>
        </is>
      </c>
    </row>
    <row r="110">
      <c r="A110" t="inlineStr">
        <is>
          <t>PRY-106</t>
        </is>
      </c>
      <c r="B110" t="n">
        <v>2023</v>
      </c>
      <c r="C110" t="inlineStr">
        <is>
          <t>Artefactos Especulativos: Zoom In/ Zoom out al extractivismo en el maritorio del Norte Chico</t>
        </is>
      </c>
      <c r="D110" t="inlineStr">
        <is>
          <t>Daniela Salgado Cofré, Álvaro Mercado Jara, Leonardo Aravena</t>
        </is>
      </c>
      <c r="E110" t="inlineStr">
        <is>
          <t>Urbanización, urbanismo y ecología política</t>
        </is>
      </c>
      <c r="F110" t="inlineStr">
        <is>
          <t>Prácticas proyectuales</t>
        </is>
      </c>
      <c r="G110" t="inlineStr">
        <is>
          <t>teórico</t>
        </is>
      </c>
      <c r="H110" t="inlineStr">
        <is>
          <t>sí</t>
        </is>
      </c>
      <c r="I110" t="inlineStr">
        <is>
          <t>media</t>
        </is>
      </c>
      <c r="J110" t="inlineStr">
        <is>
          <t>sí</t>
        </is>
      </c>
    </row>
    <row r="111">
      <c r="A111" t="inlineStr">
        <is>
          <t>PRY-107</t>
        </is>
      </c>
      <c r="B111" t="n">
        <v>2023</v>
      </c>
      <c r="C111" t="inlineStr">
        <is>
          <t>Artesanos del descarte: talleres de reutilización de cintas de riego agrícola en desuso orientados a adultos mayores de la comuna de Quillota.</t>
        </is>
      </c>
      <c r="D111" t="inlineStr">
        <is>
          <t>Daniela Salgado Cofré</t>
        </is>
      </c>
      <c r="E111" t="inlineStr">
        <is>
          <t>Diseño social, territorial y patrimonio cultural</t>
        </is>
      </c>
      <c r="F111" t="inlineStr">
        <is>
          <t>Prácticas proyectuales</t>
        </is>
      </c>
      <c r="G111" t="inlineStr">
        <is>
          <t>proyectual</t>
        </is>
      </c>
      <c r="H111" t="inlineStr">
        <is>
          <t>sí</t>
        </is>
      </c>
      <c r="I111" t="inlineStr">
        <is>
          <t>media</t>
        </is>
      </c>
      <c r="J111" t="inlineStr">
        <is>
          <t>sí</t>
        </is>
      </c>
    </row>
    <row r="112">
      <c r="A112" t="inlineStr">
        <is>
          <t>PRY-108</t>
        </is>
      </c>
      <c r="B112" t="n">
        <v>2023</v>
      </c>
      <c r="C112" t="inlineStr">
        <is>
          <t>Bitácoras de vida, trabajo y estudio. Cuadernos de maestros de la PUCV</t>
        </is>
      </c>
      <c r="D112" t="inlineStr">
        <is>
          <t>Jaime Reyes Gil</t>
        </is>
      </c>
      <c r="E112" t="inlineStr">
        <is>
          <t>Acervo histórico de Ciudad Abierta y de la Escuela de Arquitectura y Diseño</t>
        </is>
      </c>
      <c r="F112" t="inlineStr">
        <is>
          <t>Fundamentos disciplinares</t>
        </is>
      </c>
      <c r="G112" t="inlineStr">
        <is>
          <t>teórico</t>
        </is>
      </c>
      <c r="H112" t="inlineStr">
        <is>
          <t>sí</t>
        </is>
      </c>
      <c r="I112" t="inlineStr">
        <is>
          <t>alta</t>
        </is>
      </c>
      <c r="J112" t="inlineStr">
        <is>
          <t>no</t>
        </is>
      </c>
    </row>
    <row r="113">
      <c r="A113" t="inlineStr">
        <is>
          <t>PRY-109</t>
        </is>
      </c>
      <c r="B113" t="n">
        <v>2023</v>
      </c>
      <c r="C113" t="inlineStr">
        <is>
          <t>Co-designing our future collective living environments: lessons from participatory design practices with indigenous communities (DI 039.453)</t>
        </is>
      </c>
      <c r="D113" t="inlineStr">
        <is>
          <t>Iván Ivelic Yanes</t>
        </is>
      </c>
      <c r="E113" t="inlineStr">
        <is>
          <t>Prácticas colectivas</t>
        </is>
      </c>
      <c r="F113" t="inlineStr">
        <is>
          <t>Prácticas proyectuales</t>
        </is>
      </c>
      <c r="G113" t="inlineStr">
        <is>
          <t>proyectual</t>
        </is>
      </c>
      <c r="H113" t="inlineStr">
        <is>
          <t>sí</t>
        </is>
      </c>
      <c r="I113" t="inlineStr">
        <is>
          <t>media</t>
        </is>
      </c>
      <c r="J113" t="inlineStr">
        <is>
          <t>sí</t>
        </is>
      </c>
    </row>
    <row r="114">
      <c r="A114" t="inlineStr">
        <is>
          <t>PRY-110</t>
        </is>
      </c>
      <c r="B114" t="n">
        <v>2023</v>
      </c>
      <c r="C114" t="inlineStr">
        <is>
          <t>Dimensión tácita de la luz natural en la práctica y formación arquitectónica: casos de la arquitectura religiosa moderna en Chile</t>
        </is>
      </c>
      <c r="D114" t="inlineStr">
        <is>
          <t>Óscar Andrade Castro</t>
        </is>
      </c>
      <c r="E114" t="inlineStr">
        <is>
          <t>Arquitectura como medio didáctico</t>
        </is>
      </c>
      <c r="F114" t="inlineStr">
        <is>
          <t>Fundamentos disciplinares</t>
        </is>
      </c>
      <c r="G114" t="inlineStr">
        <is>
          <t>proyectual</t>
        </is>
      </c>
      <c r="H114" t="inlineStr">
        <is>
          <t>sí</t>
        </is>
      </c>
      <c r="I114" t="inlineStr">
        <is>
          <t>media</t>
        </is>
      </c>
      <c r="J114" t="inlineStr">
        <is>
          <t>sí</t>
        </is>
      </c>
    </row>
    <row r="115">
      <c r="A115" t="inlineStr">
        <is>
          <t>PRY-111</t>
        </is>
      </c>
      <c r="B115" t="n">
        <v>2023</v>
      </c>
      <c r="C115" t="inlineStr">
        <is>
          <t>Diseño de un puerto inteligente y sustentable para la region de Magallanes y la Antartida Chilena</t>
        </is>
      </c>
      <c r="D115" t="inlineStr">
        <is>
          <t>Iván Ivelic Yanes</t>
        </is>
      </c>
      <c r="E115" t="inlineStr">
        <is>
          <t>Movilidad, infraestructura urbana y equipamiento</t>
        </is>
      </c>
      <c r="F115" t="inlineStr">
        <is>
          <t>Prácticas proyectuales</t>
        </is>
      </c>
      <c r="G115" t="inlineStr">
        <is>
          <t>proyectual</t>
        </is>
      </c>
      <c r="H115" t="inlineStr">
        <is>
          <t>sí</t>
        </is>
      </c>
      <c r="I115" t="inlineStr">
        <is>
          <t>media</t>
        </is>
      </c>
      <c r="J115" t="inlineStr">
        <is>
          <t>sí</t>
        </is>
      </c>
    </row>
    <row r="116">
      <c r="A116" t="inlineStr">
        <is>
          <t>PRY-112</t>
        </is>
      </c>
      <c r="B116" t="n">
        <v>2023</v>
      </c>
      <c r="C116" t="inlineStr">
        <is>
          <t>Educando en autodeterminación al final de la vida: una propuesta formativa dirigida a personas con discapacidad intelectual que envejecen</t>
        </is>
      </c>
      <c r="D116" t="inlineStr">
        <is>
          <t>Herbert Spencer González, Katherine Exss Cid</t>
        </is>
      </c>
      <c r="E116" t="inlineStr">
        <is>
          <t>Diseño y vida independiente</t>
        </is>
      </c>
      <c r="F116" t="inlineStr">
        <is>
          <t>Fundamentos disciplinares</t>
        </is>
      </c>
      <c r="G116" t="inlineStr">
        <is>
          <t>proyectual</t>
        </is>
      </c>
      <c r="H116" t="inlineStr">
        <is>
          <t>sí</t>
        </is>
      </c>
      <c r="I116" t="inlineStr">
        <is>
          <t>media</t>
        </is>
      </c>
      <c r="J116" t="inlineStr">
        <is>
          <t>sí</t>
        </is>
      </c>
    </row>
    <row r="117">
      <c r="A117" t="inlineStr">
        <is>
          <t>PRY-113</t>
        </is>
      </c>
      <c r="B117" t="n">
        <v>2023</v>
      </c>
      <c r="C117" t="inlineStr">
        <is>
          <t>Errando se Aprende</t>
        </is>
      </c>
      <c r="D117" t="inlineStr">
        <is>
          <t>Emanuela Di Felice</t>
        </is>
      </c>
      <c r="E117" t="inlineStr">
        <is>
          <t>Urbanismo afectivo, deriva y reuso del patrimonio</t>
        </is>
      </c>
      <c r="F117" t="inlineStr">
        <is>
          <t>Prácticas proyectuales</t>
        </is>
      </c>
      <c r="G117" t="inlineStr">
        <is>
          <t>proyectual</t>
        </is>
      </c>
      <c r="H117" t="inlineStr">
        <is>
          <t>sí</t>
        </is>
      </c>
      <c r="I117" t="inlineStr">
        <is>
          <t>alta</t>
        </is>
      </c>
      <c r="J117" t="inlineStr">
        <is>
          <t>no</t>
        </is>
      </c>
    </row>
    <row r="118">
      <c r="A118" t="inlineStr">
        <is>
          <t>PRY-114</t>
        </is>
      </c>
      <c r="B118" t="n">
        <v>2023</v>
      </c>
      <c r="C118" t="inlineStr">
        <is>
          <t>Geometria In-tangible</t>
        </is>
      </c>
      <c r="D118" t="inlineStr">
        <is>
          <t>Andrés Garcés Alzamora</t>
        </is>
      </c>
      <c r="E118" t="inlineStr">
        <is>
          <t>Ciudad-teatro y apropiación escénica del espacio público</t>
        </is>
      </c>
      <c r="F118" t="inlineStr">
        <is>
          <t>Prácticas proyectuales</t>
        </is>
      </c>
      <c r="G118" t="inlineStr">
        <is>
          <t>proyectual</t>
        </is>
      </c>
      <c r="H118" t="inlineStr">
        <is>
          <t>sí</t>
        </is>
      </c>
      <c r="I118" t="inlineStr">
        <is>
          <t>media</t>
        </is>
      </c>
      <c r="J118" t="inlineStr">
        <is>
          <t>sí</t>
        </is>
      </c>
    </row>
    <row r="119">
      <c r="A119" t="inlineStr">
        <is>
          <t>PRY-115</t>
        </is>
      </c>
      <c r="B119" t="n">
        <v>2023</v>
      </c>
      <c r="C119" t="inlineStr">
        <is>
          <t>Kit para el estudio de la luz natural en arquitectura</t>
        </is>
      </c>
      <c r="D119" t="inlineStr">
        <is>
          <t>Óscar Andrade Castro</t>
        </is>
      </c>
      <c r="E119" t="inlineStr">
        <is>
          <t>Arquitectura como medio didáctico</t>
        </is>
      </c>
      <c r="F119" t="inlineStr">
        <is>
          <t>Fundamentos disciplinares</t>
        </is>
      </c>
      <c r="G119" t="inlineStr">
        <is>
          <t>proyectual</t>
        </is>
      </c>
      <c r="H119" t="inlineStr">
        <is>
          <t>sí</t>
        </is>
      </c>
      <c r="I119" t="inlineStr">
        <is>
          <t>alta</t>
        </is>
      </c>
      <c r="J119" t="inlineStr">
        <is>
          <t>no</t>
        </is>
      </c>
    </row>
    <row r="120">
      <c r="A120" t="inlineStr">
        <is>
          <t>PRY-116</t>
        </is>
      </c>
      <c r="B120" t="n">
        <v>2023</v>
      </c>
      <c r="C120" t="inlineStr">
        <is>
          <t>La Inteligencia Artificial y su Inserción en el Sistema eduactivo Actual (Centenario DI 39368)</t>
        </is>
      </c>
      <c r="D120" t="inlineStr">
        <is>
          <t>Iván Ivelic Yanes</t>
        </is>
      </c>
      <c r="E120" t="inlineStr">
        <is>
          <t>Sistemas inteligentes e IA en diseño</t>
        </is>
      </c>
      <c r="F120" t="inlineStr">
        <is>
          <t>Fundamentos disciplinares</t>
        </is>
      </c>
      <c r="G120" t="inlineStr">
        <is>
          <t>proyectual</t>
        </is>
      </c>
      <c r="H120" t="inlineStr">
        <is>
          <t>sí</t>
        </is>
      </c>
      <c r="I120" t="inlineStr">
        <is>
          <t>media</t>
        </is>
      </c>
      <c r="J120" t="inlineStr">
        <is>
          <t>sí</t>
        </is>
      </c>
    </row>
    <row r="121">
      <c r="A121" t="inlineStr">
        <is>
          <t>PRY-117</t>
        </is>
      </c>
      <c r="B121" t="n">
        <v>2023</v>
      </c>
      <c r="C121" t="inlineStr">
        <is>
          <t>STEAM and Gender: Strengthening the trajectories of girls and young people from public schools in Villa Alemana, Chile</t>
        </is>
      </c>
      <c r="D121" t="inlineStr">
        <is>
          <t>Juan Carlos Jeldes Pontio</t>
        </is>
      </c>
      <c r="E121" t="inlineStr">
        <is>
          <t>Medios de aprendizaje en arquitectura y diseño</t>
        </is>
      </c>
      <c r="F121" t="inlineStr">
        <is>
          <t>Fundamentos disciplinares</t>
        </is>
      </c>
      <c r="G121" t="inlineStr">
        <is>
          <t>proyectual</t>
        </is>
      </c>
      <c r="H121" t="inlineStr">
        <is>
          <t>sí</t>
        </is>
      </c>
      <c r="I121" t="inlineStr">
        <is>
          <t>media</t>
        </is>
      </c>
      <c r="J121" t="inlineStr">
        <is>
          <t>sí</t>
        </is>
      </c>
    </row>
    <row r="122">
      <c r="A122" t="inlineStr">
        <is>
          <t>PRY-118</t>
        </is>
      </c>
      <c r="B122" t="n">
        <v>2023</v>
      </c>
      <c r="C122" t="inlineStr">
        <is>
          <t>Seminario &amp; Workshop Belgica: Crafting Methods in Design Research</t>
        </is>
      </c>
      <c r="D122" t="inlineStr">
        <is>
          <t>Daniela Salgado Cofré, Álvaro Mercado Jara</t>
        </is>
      </c>
      <c r="E122" t="inlineStr">
        <is>
          <t>Métodos de diseño</t>
        </is>
      </c>
      <c r="F122" t="inlineStr">
        <is>
          <t>Fundamentos disciplinares</t>
        </is>
      </c>
      <c r="G122" t="inlineStr">
        <is>
          <t>proyectual</t>
        </is>
      </c>
      <c r="H122" t="inlineStr">
        <is>
          <t>sí</t>
        </is>
      </c>
      <c r="I122" t="inlineStr">
        <is>
          <t>alta</t>
        </is>
      </c>
      <c r="J122" t="inlineStr">
        <is>
          <t>no</t>
        </is>
      </c>
    </row>
    <row r="123">
      <c r="A123" t="inlineStr">
        <is>
          <t>PRY-119</t>
        </is>
      </c>
      <c r="B123" t="n">
        <v>2024</v>
      </c>
      <c r="C123" t="inlineStr">
        <is>
          <t>Actores, prácticas e impactos de las geografías de la financiarización urbana en Chile. Fondecyt nº 622656</t>
        </is>
      </c>
      <c r="D123" t="inlineStr">
        <is>
          <t>Adriana Marín Toro</t>
        </is>
      </c>
      <c r="E123" t="inlineStr">
        <is>
          <t>Vivienda, financiarización y políticas habitacionales</t>
        </is>
      </c>
      <c r="F123" t="inlineStr">
        <is>
          <t>Prácticas proyectuales</t>
        </is>
      </c>
      <c r="G123" t="inlineStr">
        <is>
          <t>teórico</t>
        </is>
      </c>
      <c r="H123" t="inlineStr">
        <is>
          <t>sí</t>
        </is>
      </c>
      <c r="I123" t="inlineStr">
        <is>
          <t>alta</t>
        </is>
      </c>
      <c r="J123" t="inlineStr">
        <is>
          <t>no</t>
        </is>
      </c>
    </row>
    <row r="124">
      <c r="A124" t="inlineStr">
        <is>
          <t>PRY-120</t>
        </is>
      </c>
      <c r="B124" t="n">
        <v>2024</v>
      </c>
      <c r="C124" t="inlineStr">
        <is>
          <t>Artifacts of Entanglement: In the Web of Extractive Urbanization</t>
        </is>
      </c>
      <c r="D124" t="inlineStr">
        <is>
          <t>Daniela Salgado Cofré, Álvaro Mercado Jara</t>
        </is>
      </c>
      <c r="E124" t="inlineStr">
        <is>
          <t>Urbanización, urbanismo y ecología política</t>
        </is>
      </c>
      <c r="F124" t="inlineStr">
        <is>
          <t>Prácticas proyectuales</t>
        </is>
      </c>
      <c r="G124" t="inlineStr">
        <is>
          <t>teórico</t>
        </is>
      </c>
      <c r="H124" t="inlineStr">
        <is>
          <t>sí</t>
        </is>
      </c>
      <c r="I124" t="inlineStr">
        <is>
          <t>alta</t>
        </is>
      </c>
      <c r="J124" t="inlineStr">
        <is>
          <t>no</t>
        </is>
      </c>
    </row>
    <row r="125">
      <c r="A125" t="inlineStr">
        <is>
          <t>PRY-121</t>
        </is>
      </c>
      <c r="B125" t="n">
        <v>2024</v>
      </c>
      <c r="C125" t="inlineStr">
        <is>
          <t>CLIMATIC PLURIVERSES: A DECOLONIAL PERSPECTIVE OF GEOHUMANITIES FOR THE DESIGN OF ALTERNATIVE TERRITORIES IN CONTEXTS OF CLIMATE CHANGE (cod: ATE230072)</t>
        </is>
      </c>
      <c r="D125" t="inlineStr">
        <is>
          <t>Álvaro Mercado Jara</t>
        </is>
      </c>
      <c r="E125" t="inlineStr">
        <is>
          <t>Perspectivas decoloniales</t>
        </is>
      </c>
      <c r="F125" t="inlineStr">
        <is>
          <t>Prácticas proyectuales</t>
        </is>
      </c>
      <c r="G125" t="inlineStr">
        <is>
          <t>teórico</t>
        </is>
      </c>
      <c r="H125" t="inlineStr">
        <is>
          <t>sí</t>
        </is>
      </c>
      <c r="I125" t="inlineStr">
        <is>
          <t>alta</t>
        </is>
      </c>
      <c r="J125" t="inlineStr">
        <is>
          <t>no</t>
        </is>
      </c>
    </row>
    <row r="126">
      <c r="A126" t="inlineStr">
        <is>
          <t>PRY-122</t>
        </is>
      </c>
      <c r="B126" t="n">
        <v>2024</v>
      </c>
      <c r="C126" t="inlineStr">
        <is>
          <t>Capilla del Sagrado Corazón de Jesús</t>
        </is>
      </c>
      <c r="D126" t="inlineStr">
        <is>
          <t>Jorge Ferrada Herrera</t>
        </is>
      </c>
      <c r="E126" t="inlineStr">
        <is>
          <t>Patrimonio arquitectónico y rehabilitación</t>
        </is>
      </c>
      <c r="F126" t="inlineStr">
        <is>
          <t>Prácticas proyectuales</t>
        </is>
      </c>
      <c r="G126" t="inlineStr">
        <is>
          <t>proyectual</t>
        </is>
      </c>
      <c r="H126" t="inlineStr">
        <is>
          <t>sí</t>
        </is>
      </c>
      <c r="I126" t="inlineStr">
        <is>
          <t>media</t>
        </is>
      </c>
      <c r="J126" t="inlineStr">
        <is>
          <t>sí</t>
        </is>
      </c>
    </row>
    <row r="127">
      <c r="A127" t="inlineStr">
        <is>
          <t>PRY-123</t>
        </is>
      </c>
      <c r="B127" t="n">
        <v>2024</v>
      </c>
      <c r="C127" t="inlineStr">
        <is>
          <t>Chile es un Archipiélago. La poesía y los mares de América.</t>
        </is>
      </c>
      <c r="D127" t="inlineStr">
        <is>
          <t>Jaime Reyes Gil</t>
        </is>
      </c>
      <c r="E127" t="inlineStr">
        <is>
          <t>Poesía y oficio</t>
        </is>
      </c>
      <c r="F127" t="inlineStr">
        <is>
          <t>Fundamentos disciplinares</t>
        </is>
      </c>
      <c r="G127" t="inlineStr">
        <is>
          <t>teórico</t>
        </is>
      </c>
      <c r="H127" t="inlineStr">
        <is>
          <t>sí</t>
        </is>
      </c>
      <c r="I127" t="inlineStr">
        <is>
          <t>media</t>
        </is>
      </c>
      <c r="J127" t="inlineStr">
        <is>
          <t>sí</t>
        </is>
      </c>
    </row>
    <row r="128">
      <c r="A128" t="inlineStr">
        <is>
          <t>PRY-124</t>
        </is>
      </c>
      <c r="B128" t="n">
        <v>2024</v>
      </c>
      <c r="C128" t="inlineStr">
        <is>
          <t>El espacio como criterio de interpretación del proyecto urbano: tres proyectos de la Escuela de Arquitectura de la UCV (1952-1970)</t>
        </is>
      </c>
      <c r="D128" t="inlineStr">
        <is>
          <t>Anna Braghini</t>
        </is>
      </c>
      <c r="E128" t="inlineStr">
        <is>
          <t>Teoría e historia de la arquitectura</t>
        </is>
      </c>
      <c r="F128" t="inlineStr">
        <is>
          <t>Fundamentos disciplinares</t>
        </is>
      </c>
      <c r="G128" t="inlineStr">
        <is>
          <t>teórico</t>
        </is>
      </c>
      <c r="H128" t="inlineStr">
        <is>
          <t>sí</t>
        </is>
      </c>
      <c r="I128" t="inlineStr">
        <is>
          <t>alta</t>
        </is>
      </c>
      <c r="J128" t="inlineStr">
        <is>
          <t>no</t>
        </is>
      </c>
    </row>
    <row r="129">
      <c r="A129" t="inlineStr">
        <is>
          <t>PRY-125</t>
        </is>
      </c>
      <c r="B129" t="n">
        <v>2024</v>
      </c>
      <c r="C129" t="inlineStr">
        <is>
          <t>Entre Páginas y Dibujos: Revelando el Patrimonio Cultural de los Cuadernos-Bitácora de la Escuela de Arquitectura y Diseño PUCV</t>
        </is>
      </c>
      <c r="D129" t="inlineStr">
        <is>
          <t>Jaime Reyes Gil</t>
        </is>
      </c>
      <c r="E129" t="inlineStr">
        <is>
          <t>Acervo histórico de Ciudad Abierta y de la Escuela de Arquitectura y Diseño</t>
        </is>
      </c>
      <c r="F129" t="inlineStr">
        <is>
          <t>Fundamentos disciplinares</t>
        </is>
      </c>
      <c r="G129" t="inlineStr">
        <is>
          <t>teórico</t>
        </is>
      </c>
      <c r="H129" t="inlineStr">
        <is>
          <t>sí</t>
        </is>
      </c>
      <c r="I129" t="inlineStr">
        <is>
          <t>alta</t>
        </is>
      </c>
      <c r="J129" t="inlineStr">
        <is>
          <t>no</t>
        </is>
      </c>
    </row>
    <row r="130">
      <c r="A130" t="inlineStr">
        <is>
          <t>PRY-126</t>
        </is>
      </c>
      <c r="B130" t="n">
        <v>2024</v>
      </c>
      <c r="C130" t="inlineStr">
        <is>
          <t>Huellas de luz</t>
        </is>
      </c>
      <c r="D130" t="inlineStr">
        <is>
          <t>Óscar Andrade Castro</t>
        </is>
      </c>
      <c r="E130" t="inlineStr">
        <is>
          <t>Arquitectura como medio didáctico</t>
        </is>
      </c>
      <c r="F130" t="inlineStr">
        <is>
          <t>Fundamentos disciplinares</t>
        </is>
      </c>
      <c r="G130" t="inlineStr">
        <is>
          <t>proyectual</t>
        </is>
      </c>
      <c r="H130" t="inlineStr">
        <is>
          <t>sí</t>
        </is>
      </c>
      <c r="I130" t="inlineStr">
        <is>
          <t>media</t>
        </is>
      </c>
      <c r="J130" t="inlineStr">
        <is>
          <t>sí</t>
        </is>
      </c>
    </row>
    <row r="131">
      <c r="A131" t="inlineStr">
        <is>
          <t>PRY-127</t>
        </is>
      </c>
      <c r="B131" t="n">
        <v>2024</v>
      </c>
      <c r="C131" t="inlineStr">
        <is>
          <t>Re-imaginar la escuela: Reflexiones sobre la arquitectura escolar moderna en Chile (1940-1980)</t>
        </is>
      </c>
      <c r="D131" t="inlineStr">
        <is>
          <t>Ursula Exss Cid</t>
        </is>
      </c>
      <c r="E131" t="inlineStr">
        <is>
          <t>Reforma escolar y enseñanza de la arquitectura</t>
        </is>
      </c>
      <c r="F131" t="inlineStr">
        <is>
          <t>Fundamentos disciplinares</t>
        </is>
      </c>
      <c r="G131" t="inlineStr">
        <is>
          <t>teórico</t>
        </is>
      </c>
      <c r="H131" t="inlineStr">
        <is>
          <t>sí</t>
        </is>
      </c>
      <c r="I131" t="inlineStr">
        <is>
          <t>alta</t>
        </is>
      </c>
      <c r="J131" t="inlineStr">
        <is>
          <t>no</t>
        </is>
      </c>
    </row>
    <row r="132">
      <c r="A132" t="inlineStr">
        <is>
          <t>PRY-128</t>
        </is>
      </c>
      <c r="B132" t="n">
        <v>2024</v>
      </c>
      <c r="C132" t="inlineStr">
        <is>
          <t>Socialización del proyecto de un Parque para la infancia en el Barrio Puerto. Fondo Vinculacion con el Medio</t>
        </is>
      </c>
      <c r="D132" t="inlineStr">
        <is>
          <t>Rodrigo Saavedra Venegas</t>
        </is>
      </c>
      <c r="E132" t="inlineStr">
        <is>
          <t>Espacios de estimulación temprana</t>
        </is>
      </c>
      <c r="F132" t="inlineStr">
        <is>
          <t>Fundamentos disciplinares</t>
        </is>
      </c>
      <c r="G132" t="inlineStr">
        <is>
          <t>proyectual</t>
        </is>
      </c>
      <c r="H132" t="inlineStr">
        <is>
          <t>sí</t>
        </is>
      </c>
      <c r="I132" t="inlineStr">
        <is>
          <t>media</t>
        </is>
      </c>
      <c r="J132" t="inlineStr">
        <is>
          <t>sí</t>
        </is>
      </c>
    </row>
    <row r="133">
      <c r="A133" t="inlineStr">
        <is>
          <t>PRY-129</t>
        </is>
      </c>
      <c r="B133" t="n">
        <v>2024</v>
      </c>
      <c r="C133" t="inlineStr">
        <is>
          <t>TEAsy Life: Modelo de IA para apoyar la autonomía de personas adultas con transtorno del espectro autista en el hogar</t>
        </is>
      </c>
      <c r="D133" t="inlineStr">
        <is>
          <t>Katherine Exss Cid</t>
        </is>
      </c>
      <c r="E133" t="inlineStr">
        <is>
          <t>Sistemas inteligentes e IA en diseño</t>
        </is>
      </c>
      <c r="F133" t="inlineStr">
        <is>
          <t>Fundamentos disciplinares</t>
        </is>
      </c>
      <c r="G133" t="inlineStr">
        <is>
          <t>proyectual</t>
        </is>
      </c>
      <c r="H133" t="inlineStr">
        <is>
          <t>sí</t>
        </is>
      </c>
      <c r="I133" t="inlineStr">
        <is>
          <t>alta</t>
        </is>
      </c>
      <c r="J133" t="inlineStr">
        <is>
          <t>no</t>
        </is>
      </c>
    </row>
    <row r="134">
      <c r="A134" t="inlineStr">
        <is>
          <t>PRY-130</t>
        </is>
      </c>
      <c r="B134" t="n">
        <v>2024</v>
      </c>
      <c r="C134" t="inlineStr">
        <is>
          <t>Taller Urbanismo Afectivo</t>
        </is>
      </c>
      <c r="D134" t="inlineStr">
        <is>
          <t>Emanuela Di Felice</t>
        </is>
      </c>
      <c r="E134" t="inlineStr">
        <is>
          <t>Urbanismo afectivo, deriva y reuso del patrimonio</t>
        </is>
      </c>
      <c r="F134" t="inlineStr">
        <is>
          <t>Prácticas proyectuales</t>
        </is>
      </c>
      <c r="G134" t="inlineStr">
        <is>
          <t>proyectual</t>
        </is>
      </c>
      <c r="H134" t="inlineStr">
        <is>
          <t>sí</t>
        </is>
      </c>
      <c r="I134" t="inlineStr">
        <is>
          <t>alta</t>
        </is>
      </c>
      <c r="J134" t="inlineStr">
        <is>
          <t>no</t>
        </is>
      </c>
    </row>
    <row r="135">
      <c r="A135" t="inlineStr">
        <is>
          <t>PRY-131</t>
        </is>
      </c>
      <c r="B135" t="n">
        <v>2024</v>
      </c>
      <c r="C135" t="inlineStr">
        <is>
          <t>Umbral Comunitario: Creación arquitectónica de un espacio público de cuidados mediante la flexibilidad, la modulación y la extensibilidad de interior a exterior.</t>
        </is>
      </c>
      <c r="D135" t="inlineStr">
        <is>
          <t>Rodrigo Saavedra Venegas, Anna Braghini</t>
        </is>
      </c>
      <c r="E135" t="inlineStr">
        <is>
          <t>Movilidad, infraestructura urbana y equipamiento</t>
        </is>
      </c>
      <c r="F135" t="inlineStr">
        <is>
          <t>Prácticas proyectuales</t>
        </is>
      </c>
      <c r="G135" t="inlineStr">
        <is>
          <t>proyectual</t>
        </is>
      </c>
      <c r="H135" t="inlineStr">
        <is>
          <t>sí</t>
        </is>
      </c>
      <c r="I135" t="inlineStr">
        <is>
          <t>media</t>
        </is>
      </c>
      <c r="J135" t="inlineStr">
        <is>
          <t>sí</t>
        </is>
      </c>
    </row>
    <row r="136">
      <c r="A136" t="inlineStr">
        <is>
          <t>PRY-132</t>
        </is>
      </c>
      <c r="B136" t="n">
        <v>2025</v>
      </c>
      <c r="C136" t="inlineStr">
        <is>
          <t>Accediendo a la zona de confort: Estudio sobre sistemas personales de confort térmico en personas con discapacidad intelectual en Chile</t>
        </is>
      </c>
      <c r="D136" t="inlineStr">
        <is>
          <t>Katherine Exss Cid</t>
        </is>
      </c>
      <c r="E136" t="inlineStr">
        <is>
          <t>Confort, bienestar y habitabilidad personal</t>
        </is>
      </c>
      <c r="F136" t="inlineStr">
        <is>
          <t>Prácticas proyectuales</t>
        </is>
      </c>
      <c r="G136" t="inlineStr">
        <is>
          <t>proyectual</t>
        </is>
      </c>
      <c r="H136" t="inlineStr">
        <is>
          <t>sí</t>
        </is>
      </c>
      <c r="I136" t="inlineStr">
        <is>
          <t>alta</t>
        </is>
      </c>
      <c r="J136" t="inlineStr">
        <is>
          <t>no</t>
        </is>
      </c>
    </row>
    <row r="137">
      <c r="A137" t="inlineStr">
        <is>
          <t>PRY-133</t>
        </is>
      </c>
      <c r="B137" t="n">
        <v>2025</v>
      </c>
      <c r="C137" t="inlineStr">
        <is>
          <t>Chile va a la escuela: arquitectura escolar chilena, siglo XX</t>
        </is>
      </c>
      <c r="D137" t="inlineStr">
        <is>
          <t>Ursula Exss Cid</t>
        </is>
      </c>
      <c r="E137" t="inlineStr">
        <is>
          <t>Reforma escolar y enseñanza de la arquitectura</t>
        </is>
      </c>
      <c r="F137" t="inlineStr">
        <is>
          <t>Fundamentos disciplinares</t>
        </is>
      </c>
      <c r="G137" t="inlineStr">
        <is>
          <t>teórico</t>
        </is>
      </c>
      <c r="H137" t="inlineStr">
        <is>
          <t>sí</t>
        </is>
      </c>
      <c r="I137" t="inlineStr">
        <is>
          <t>alta</t>
        </is>
      </c>
      <c r="J137" t="inlineStr">
        <is>
          <t>no</t>
        </is>
      </c>
    </row>
    <row r="138">
      <c r="A138" t="inlineStr">
        <is>
          <t>PRY-134</t>
        </is>
      </c>
      <c r="B138" t="n">
        <v>2025</v>
      </c>
      <c r="C138" t="inlineStr">
        <is>
          <t>Construyendo identidades a través de los objetos: Narrativas políticas y materiales en la artesanía chilena entre 1970 y 1990. Folio 039.737/2025</t>
        </is>
      </c>
      <c r="D138" t="inlineStr">
        <is>
          <t>Daniela Salgado Cofré</t>
        </is>
      </c>
      <c r="E138" t="inlineStr">
        <is>
          <t>Diseño social, territorial y patrimonio cultural</t>
        </is>
      </c>
      <c r="F138" t="inlineStr">
        <is>
          <t>Prácticas proyectuales</t>
        </is>
      </c>
      <c r="G138" t="inlineStr">
        <is>
          <t>proyectual</t>
        </is>
      </c>
      <c r="H138" t="inlineStr">
        <is>
          <t>sí</t>
        </is>
      </c>
      <c r="I138" t="inlineStr">
        <is>
          <t>alta</t>
        </is>
      </c>
      <c r="J138" t="inlineStr">
        <is>
          <t>no</t>
        </is>
      </c>
    </row>
    <row r="139">
      <c r="A139" t="inlineStr">
        <is>
          <t>PRY-135</t>
        </is>
      </c>
      <c r="B139" t="n">
        <v>2025</v>
      </c>
      <c r="C139" t="inlineStr">
        <is>
          <t>DECOLONIAL ANIMAL GEOGRAPHIES FROM THE SOUTH: MULTI-SPECIES TRAJECTORIES THROUGH THE ANDES IN THE CONTEXT OF ENVIRONMENTAL CHANGE 1252155</t>
        </is>
      </c>
      <c r="D139" t="inlineStr">
        <is>
          <t>Daniela Salgado Cofré</t>
        </is>
      </c>
      <c r="E139" t="inlineStr">
        <is>
          <t>Perspectivas decoloniales</t>
        </is>
      </c>
      <c r="F139" t="inlineStr">
        <is>
          <t>Prácticas proyectuales</t>
        </is>
      </c>
      <c r="G139" t="inlineStr">
        <is>
          <t>teórico</t>
        </is>
      </c>
      <c r="H139" t="inlineStr">
        <is>
          <t>sí</t>
        </is>
      </c>
      <c r="I139" t="inlineStr">
        <is>
          <t>alta</t>
        </is>
      </c>
      <c r="J139" t="inlineStr">
        <is>
          <t>no</t>
        </is>
      </c>
    </row>
    <row r="140">
      <c r="A140" t="inlineStr">
        <is>
          <t>PRY-136</t>
        </is>
      </c>
      <c r="B140" t="n">
        <v>2025</v>
      </c>
      <c r="C140" t="inlineStr">
        <is>
          <t>El jardín y la escultura</t>
        </is>
      </c>
      <c r="D140" t="inlineStr">
        <is>
          <t>Ursula Exss Cid</t>
        </is>
      </c>
      <c r="E140" t="inlineStr">
        <is>
          <t>Arte y arquitectura</t>
        </is>
      </c>
      <c r="F140" t="inlineStr">
        <is>
          <t>Fundamentos disciplinares</t>
        </is>
      </c>
      <c r="G140" t="inlineStr">
        <is>
          <t>teórico</t>
        </is>
      </c>
      <c r="H140" t="inlineStr">
        <is>
          <t>sí</t>
        </is>
      </c>
      <c r="I140" t="inlineStr">
        <is>
          <t>media</t>
        </is>
      </c>
      <c r="J140" t="inlineStr">
        <is>
          <t>sí</t>
        </is>
      </c>
    </row>
    <row r="141">
      <c r="A141" t="inlineStr">
        <is>
          <t>PRY-137</t>
        </is>
      </c>
      <c r="B141" t="n">
        <v>2025</v>
      </c>
      <c r="C141" t="inlineStr">
        <is>
          <t>Entramados Materiales en Territorios de Extractivismo</t>
        </is>
      </c>
      <c r="D141" t="inlineStr">
        <is>
          <t>Daniela Salgado Cofré</t>
        </is>
      </c>
      <c r="E141" t="inlineStr">
        <is>
          <t>Urbanización, urbanismo y ecología política</t>
        </is>
      </c>
      <c r="F141" t="inlineStr">
        <is>
          <t>Prácticas proyectuales</t>
        </is>
      </c>
      <c r="G141" t="inlineStr">
        <is>
          <t>teórico</t>
        </is>
      </c>
      <c r="H141" t="inlineStr">
        <is>
          <t>sí</t>
        </is>
      </c>
      <c r="I141" t="inlineStr">
        <is>
          <t>media</t>
        </is>
      </c>
      <c r="J141" t="inlineStr">
        <is>
          <t>sí</t>
        </is>
      </c>
    </row>
    <row r="142">
      <c r="A142" t="inlineStr">
        <is>
          <t>PRY-138</t>
        </is>
      </c>
      <c r="B142" t="n">
        <v>2025</v>
      </c>
      <c r="C142" t="inlineStr">
        <is>
          <t>La Población Vergara en Viña del Mar como lugar de experimentación tipológica (1950-1980): manzana, trama y barrio.</t>
        </is>
      </c>
      <c r="D142" t="inlineStr">
        <is>
          <t>Anna Braghini</t>
        </is>
      </c>
      <c r="E142" t="inlineStr">
        <is>
          <t>Arquitectura moderna y habitar latinoamericano</t>
        </is>
      </c>
      <c r="F142" t="inlineStr">
        <is>
          <t>Fundamentos disciplinares</t>
        </is>
      </c>
      <c r="G142" t="inlineStr">
        <is>
          <t>teórico</t>
        </is>
      </c>
      <c r="H142" t="inlineStr">
        <is>
          <t>sí</t>
        </is>
      </c>
      <c r="I142" t="inlineStr">
        <is>
          <t>alta</t>
        </is>
      </c>
      <c r="J142" t="inlineStr">
        <is>
          <t>no</t>
        </is>
      </c>
    </row>
    <row r="143">
      <c r="A143" t="inlineStr">
        <is>
          <t>PRY-139</t>
        </is>
      </c>
      <c r="B143" t="n">
        <v>2025</v>
      </c>
      <c r="C143" t="inlineStr">
        <is>
          <t>La ciudad en juego</t>
        </is>
      </c>
      <c r="D143" t="inlineStr">
        <is>
          <t>Emanuela Di Felice</t>
        </is>
      </c>
      <c r="E143" t="inlineStr">
        <is>
          <t>Investigación-acción y artes urbanas</t>
        </is>
      </c>
      <c r="F143" t="inlineStr">
        <is>
          <t>Prácticas proyectuales</t>
        </is>
      </c>
      <c r="G143" t="inlineStr">
        <is>
          <t>proyectual</t>
        </is>
      </c>
      <c r="H143" t="inlineStr">
        <is>
          <t>sí</t>
        </is>
      </c>
      <c r="I143" t="inlineStr">
        <is>
          <t>media</t>
        </is>
      </c>
      <c r="J143" t="inlineStr">
        <is>
          <t>sí</t>
        </is>
      </c>
    </row>
    <row r="144">
      <c r="A144" t="inlineStr">
        <is>
          <t>PRY-140</t>
        </is>
      </c>
      <c r="B144" t="n">
        <v>2025</v>
      </c>
      <c r="C144" t="inlineStr">
        <is>
          <t>Planificación y Paisajes Comunes en el Norte Chico de Chile: Agenciamientos más que urbanos en comunidades agrícolas</t>
        </is>
      </c>
      <c r="D144" t="inlineStr">
        <is>
          <t>Álvaro Mercado Jara</t>
        </is>
      </c>
      <c r="E144" t="inlineStr">
        <is>
          <t>Comunes, comunalidad y resiliencias socioecológicas</t>
        </is>
      </c>
      <c r="F144" t="inlineStr">
        <is>
          <t>Prácticas proyectuales</t>
        </is>
      </c>
      <c r="G144" t="inlineStr">
        <is>
          <t>teórico</t>
        </is>
      </c>
      <c r="H144" t="inlineStr">
        <is>
          <t>sí</t>
        </is>
      </c>
      <c r="I144" t="inlineStr">
        <is>
          <t>alta</t>
        </is>
      </c>
      <c r="J144" t="inlineStr">
        <is>
          <t>no</t>
        </is>
      </c>
    </row>
    <row r="145">
      <c r="A145" t="inlineStr">
        <is>
          <t>PRY-141</t>
        </is>
      </c>
      <c r="B145" t="n">
        <v>2025</v>
      </c>
      <c r="C145" t="inlineStr">
        <is>
          <t>Plataforma Omnidireccional de Realidad Virtual para la simulación de Movilidad y Respuesta Sensorial con Sistemas Hápticos, para el diseño y desarrollo de entornos formativos seguros y el desarrollo de líneas de investigación</t>
        </is>
      </c>
      <c r="D145" t="inlineStr">
        <is>
          <t>Katherine Exss Cid</t>
        </is>
      </c>
      <c r="E145" t="inlineStr">
        <is>
          <t>Accesibilidad e inclusión</t>
        </is>
      </c>
      <c r="F145" t="inlineStr">
        <is>
          <t>Fundamentos disciplinares</t>
        </is>
      </c>
      <c r="G145" t="inlineStr">
        <is>
          <t>proyectual</t>
        </is>
      </c>
      <c r="H145" t="inlineStr">
        <is>
          <t>sí</t>
        </is>
      </c>
      <c r="I145" t="inlineStr">
        <is>
          <t>media</t>
        </is>
      </c>
      <c r="J145" t="inlineStr">
        <is>
          <t>sí</t>
        </is>
      </c>
    </row>
    <row r="146">
      <c r="A146" t="inlineStr">
        <is>
          <t>PRY-142</t>
        </is>
      </c>
      <c r="B146" t="n">
        <v>2025</v>
      </c>
      <c r="C146" t="inlineStr">
        <is>
          <t>Prototipo de libro ilustrado "Reimaginar la escuela"</t>
        </is>
      </c>
      <c r="D146" t="inlineStr">
        <is>
          <t>Ursula Exss Cid</t>
        </is>
      </c>
      <c r="E146" t="inlineStr">
        <is>
          <t>Reforma escolar y enseñanza de la arquitectura</t>
        </is>
      </c>
      <c r="F146" t="inlineStr">
        <is>
          <t>Fundamentos disciplinares</t>
        </is>
      </c>
      <c r="G146" t="inlineStr">
        <is>
          <t>teórico</t>
        </is>
      </c>
      <c r="H146" t="inlineStr">
        <is>
          <t>sí</t>
        </is>
      </c>
      <c r="I146" t="inlineStr">
        <is>
          <t>media</t>
        </is>
      </c>
      <c r="J146" t="inlineStr">
        <is>
          <t>sí</t>
        </is>
      </c>
    </row>
    <row r="147">
      <c r="A147" t="inlineStr">
        <is>
          <t>PRY-143</t>
        </is>
      </c>
      <c r="B147" t="n">
        <v>2025</v>
      </c>
      <c r="C147" t="inlineStr">
        <is>
          <t>Proyecto de Revitalización del Sistema de Ascensores para el Desarrollo Sostenible de Valparaíso</t>
        </is>
      </c>
      <c r="D147" t="inlineStr">
        <is>
          <t>Lorena Herrera Ponce</t>
        </is>
      </c>
      <c r="E147" t="inlineStr">
        <is>
          <t>Movilidad, infraestructura urbana y equipamiento</t>
        </is>
      </c>
      <c r="F147" t="inlineStr">
        <is>
          <t>Prácticas proyectuales</t>
        </is>
      </c>
      <c r="G147" t="inlineStr">
        <is>
          <t>proyectual</t>
        </is>
      </c>
      <c r="H147" t="inlineStr">
        <is>
          <t>sí</t>
        </is>
      </c>
      <c r="I147" t="inlineStr">
        <is>
          <t>alta</t>
        </is>
      </c>
      <c r="J147" t="inlineStr">
        <is>
          <t>no</t>
        </is>
      </c>
    </row>
    <row r="148">
      <c r="A148" t="inlineStr">
        <is>
          <t>PRY-144</t>
        </is>
      </c>
      <c r="B148" t="n">
        <v>2026</v>
      </c>
      <c r="C148" t="inlineStr">
        <is>
          <t>Arquitectura leve para el rito mariano itinerante del Valle del Choapa</t>
        </is>
      </c>
      <c r="D148" t="inlineStr">
        <is>
          <t>Álvaro Mercado Jara</t>
        </is>
      </c>
      <c r="E148" t="inlineStr">
        <is>
          <t>Diseño social, territorial y patrimonio cultural</t>
        </is>
      </c>
      <c r="F148" t="inlineStr">
        <is>
          <t>Prácticas proyectuales</t>
        </is>
      </c>
      <c r="G148" t="inlineStr">
        <is>
          <t>proyectual</t>
        </is>
      </c>
      <c r="H148" t="inlineStr">
        <is>
          <t>sí</t>
        </is>
      </c>
      <c r="I148" t="inlineStr">
        <is>
          <t>media</t>
        </is>
      </c>
      <c r="J148" t="inlineStr">
        <is>
          <t>sí</t>
        </is>
      </c>
    </row>
    <row r="149">
      <c r="A149" t="inlineStr">
        <is>
          <t>PRY-145</t>
        </is>
      </c>
      <c r="B149" t="n">
        <v>2026</v>
      </c>
      <c r="C149" t="inlineStr">
        <is>
          <t>Artefactos Relacionales: Laboratorio en Diseño y Participación.</t>
        </is>
      </c>
      <c r="D149" t="inlineStr">
        <is>
          <t>Daniela Salgado Cofré</t>
        </is>
      </c>
      <c r="E149" t="inlineStr">
        <is>
          <t>Prácticas colectivas</t>
        </is>
      </c>
      <c r="F149" t="inlineStr">
        <is>
          <t>Prácticas proyectuales</t>
        </is>
      </c>
      <c r="G149" t="inlineStr">
        <is>
          <t>proyectual</t>
        </is>
      </c>
      <c r="H149" t="inlineStr">
        <is>
          <t>sí</t>
        </is>
      </c>
      <c r="I149" t="inlineStr">
        <is>
          <t>media</t>
        </is>
      </c>
      <c r="J149" t="inlineStr">
        <is>
          <t>sí</t>
        </is>
      </c>
    </row>
    <row r="150">
      <c r="A150" t="inlineStr">
        <is>
          <t>PRY-146</t>
        </is>
      </c>
      <c r="B150" t="n">
        <v>2026</v>
      </c>
      <c r="C150" t="inlineStr">
        <is>
          <t>Cuerpos de niebla: Artefactos portables para captación de camanchaca</t>
        </is>
      </c>
      <c r="D150" t="inlineStr">
        <is>
          <t>Álvaro Mercado Jara</t>
        </is>
      </c>
      <c r="E150" t="inlineStr">
        <is>
          <t>Comunes, comunalidad y resiliencias socioecológicas</t>
        </is>
      </c>
      <c r="F150" t="inlineStr">
        <is>
          <t>Prácticas proyectuales</t>
        </is>
      </c>
      <c r="G150" t="inlineStr">
        <is>
          <t>teórico</t>
        </is>
      </c>
      <c r="H150" t="inlineStr">
        <is>
          <t>sí</t>
        </is>
      </c>
      <c r="I150" t="inlineStr">
        <is>
          <t>media</t>
        </is>
      </c>
      <c r="J150" t="inlineStr">
        <is>
          <t>sí</t>
        </is>
      </c>
    </row>
    <row r="151">
      <c r="A151" t="inlineStr">
        <is>
          <t>PRY-147</t>
        </is>
      </c>
      <c r="B151" t="n">
        <v>2026</v>
      </c>
      <c r="C151" t="inlineStr">
        <is>
          <t>El atlas como artefacto narrativo de los entramados pos-extractivos transoceánicos</t>
        </is>
      </c>
      <c r="D151" t="inlineStr">
        <is>
          <t>Álvaro Mercado Jara</t>
        </is>
      </c>
      <c r="E151" t="inlineStr">
        <is>
          <t>Urbanización, urbanismo y ecología política</t>
        </is>
      </c>
      <c r="F151" t="inlineStr">
        <is>
          <t>Prácticas proyectuales</t>
        </is>
      </c>
      <c r="G151" t="inlineStr">
        <is>
          <t>teórico</t>
        </is>
      </c>
      <c r="H151" t="inlineStr">
        <is>
          <t>sí</t>
        </is>
      </c>
      <c r="I151" t="inlineStr">
        <is>
          <t>media</t>
        </is>
      </c>
      <c r="J151" t="inlineStr">
        <is>
          <t>sí</t>
        </is>
      </c>
    </row>
    <row r="152">
      <c r="A152" t="inlineStr">
        <is>
          <t>PRY-148</t>
        </is>
      </c>
      <c r="B152" t="n">
        <v>2026</v>
      </c>
      <c r="C152" t="inlineStr">
        <is>
          <t>Extractivismo artesanal: Utilización de la artesanía tradicional chilena desde la política y el diseño (1970-2000) 11260642</t>
        </is>
      </c>
      <c r="D152" t="inlineStr">
        <is>
          <t>Daniela Salgado Cofré</t>
        </is>
      </c>
      <c r="E152" t="inlineStr">
        <is>
          <t>Diseño social, territorial y patrimonio cultural</t>
        </is>
      </c>
      <c r="F152" t="inlineStr">
        <is>
          <t>Prácticas proyectuales</t>
        </is>
      </c>
      <c r="G152" t="inlineStr">
        <is>
          <t>proyectual</t>
        </is>
      </c>
      <c r="H152" t="inlineStr">
        <is>
          <t>sí</t>
        </is>
      </c>
      <c r="I152" t="inlineStr">
        <is>
          <t>media</t>
        </is>
      </c>
      <c r="J152" t="inlineStr">
        <is>
          <t>sí</t>
        </is>
      </c>
    </row>
    <row r="153">
      <c r="A153" t="inlineStr">
        <is>
          <t>PRY-149</t>
        </is>
      </c>
      <c r="B153" t="n">
        <v>2026</v>
      </c>
      <c r="C153" t="inlineStr">
        <is>
          <t>Imaginarios Colectivos de Niebla</t>
        </is>
      </c>
      <c r="D153" t="inlineStr">
        <is>
          <t>Álvaro Mercado Jara</t>
        </is>
      </c>
      <c r="E153" t="inlineStr">
        <is>
          <t>Comunes, comunalidad y resiliencias socioecológicas</t>
        </is>
      </c>
      <c r="F153" t="inlineStr">
        <is>
          <t>Prácticas proyectuales</t>
        </is>
      </c>
      <c r="G153" t="inlineStr">
        <is>
          <t>teórico</t>
        </is>
      </c>
      <c r="H153" t="inlineStr">
        <is>
          <t>sí</t>
        </is>
      </c>
      <c r="I153" t="inlineStr">
        <is>
          <t>baja</t>
        </is>
      </c>
      <c r="J153" t="inlineStr">
        <is>
          <t>sí</t>
        </is>
      </c>
    </row>
    <row r="154">
      <c r="A154" t="inlineStr">
        <is>
          <t>PRY-150</t>
        </is>
      </c>
      <c r="B154" t="n">
        <v>2026</v>
      </c>
      <c r="C154" t="inlineStr">
        <is>
          <t>Trayectorias populares, cuidados y producción del hábitat en procesos de radicación urbana en Reñaca Alto Sur, Gran Valparaíso</t>
        </is>
      </c>
      <c r="D154" t="inlineStr">
        <is>
          <t>Emanuela Di Felice</t>
        </is>
      </c>
      <c r="E154" t="inlineStr">
        <is>
          <t>Vivienda, financiarización y políticas habitacionales</t>
        </is>
      </c>
      <c r="F154" t="inlineStr">
        <is>
          <t>Prácticas proyectuales</t>
        </is>
      </c>
      <c r="G154" t="inlineStr">
        <is>
          <t>teórico</t>
        </is>
      </c>
      <c r="H154" t="inlineStr">
        <is>
          <t>sí</t>
        </is>
      </c>
      <c r="I154" t="inlineStr">
        <is>
          <t>media</t>
        </is>
      </c>
      <c r="J154" t="inlineStr">
        <is>
          <t>sí</t>
        </is>
      </c>
    </row>
    <row r="155">
      <c r="A155" t="inlineStr">
        <is>
          <t>PRY-151</t>
        </is>
      </c>
      <c r="B155" t="n">
        <v>2026</v>
      </c>
      <c r="C155" t="inlineStr">
        <is>
          <t>Workshop HAbitar Franciscano</t>
        </is>
      </c>
      <c r="D155" t="inlineStr">
        <is>
          <t>Emanuela Di Felice</t>
        </is>
      </c>
      <c r="E155" t="inlineStr">
        <is>
          <t>Patrimonio arquitectónico y rehabilitación</t>
        </is>
      </c>
      <c r="F155" t="inlineStr">
        <is>
          <t>Prácticas proyectuales</t>
        </is>
      </c>
      <c r="G155" t="inlineStr">
        <is>
          <t>proyectual</t>
        </is>
      </c>
      <c r="H155" t="inlineStr">
        <is>
          <t>sí</t>
        </is>
      </c>
      <c r="I155" t="inlineStr">
        <is>
          <t>baja</t>
        </is>
      </c>
      <c r="J155" t="inlineStr">
        <is>
          <t>sí</t>
        </is>
      </c>
    </row>
    <row r="156">
      <c r="A156" t="inlineStr">
        <is>
          <t>PRY-152</t>
        </is>
      </c>
      <c r="B156" t="n">
        <v>2026</v>
      </c>
      <c r="C156" t="inlineStr">
        <is>
          <t>infralab: exploraciones visuales y narrativas sobre infraestructura social e imaginarios de futuro</t>
        </is>
      </c>
      <c r="D156" t="inlineStr">
        <is>
          <t>Emanuela Di Felice</t>
        </is>
      </c>
      <c r="E156" t="inlineStr">
        <is>
          <t>Investigación-acción y artes urbanas</t>
        </is>
      </c>
      <c r="F156" t="inlineStr">
        <is>
          <t>Prácticas proyectuales</t>
        </is>
      </c>
      <c r="G156" t="inlineStr">
        <is>
          <t>proyectual</t>
        </is>
      </c>
      <c r="H156" t="inlineStr">
        <is>
          <t>sí</t>
        </is>
      </c>
      <c r="I156" t="inlineStr">
        <is>
          <t>media</t>
        </is>
      </c>
      <c r="J156" t="inlineStr">
        <is>
          <t>sí</t>
        </is>
      </c>
    </row>
  </sheetData>
  <dataValidations count="1">
    <dataValidation sqref="E5:E457" showDropDown="0" showInputMessage="0" showErrorMessage="0" allowBlank="1" type="list">
      <formula1>SublineaNombres</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2" customWidth="1" style="24" min="1" max="1"/>
  </cols>
  <sheetData>
    <row r="1">
      <c r="A1" s="29" t="inlineStr">
        <is>
          <t>20 · Productividad por profesor (2014-2026)</t>
        </is>
      </c>
    </row>
    <row r="2">
      <c r="A2" t="inlineStr">
        <is>
          <t>Conteo de publicaciones y proyectos declarados por cada profesor; un proyecto compartido cuenta para cada participante. Fuente: Levantamiento de productividad 2014-2026 (planilla del equipo, oct 2026). Las publicaciones no distinguen indexación: para WoS/Scopus y capítulos con referato ver propuesta-dos-lineas.md.</t>
        </is>
      </c>
    </row>
    <row r="4">
      <c r="A4" s="30" t="inlineStr">
        <is>
          <t>investigador</t>
        </is>
      </c>
      <c r="B4" s="30" t="inlineStr">
        <is>
          <t>publicaciones_2014_2026</t>
        </is>
      </c>
      <c r="C4" s="30" t="inlineStr">
        <is>
          <t>publicaciones_2022_2026</t>
        </is>
      </c>
      <c r="D4" s="30" t="inlineStr">
        <is>
          <t>proyectos_2014_2026</t>
        </is>
      </c>
      <c r="E4" s="30" t="inlineStr">
        <is>
          <t>proyectos_2022_2026</t>
        </is>
      </c>
    </row>
    <row r="5">
      <c r="A5" t="inlineStr">
        <is>
          <t>Adriana Marín Toro</t>
        </is>
      </c>
      <c r="B5" t="n">
        <v>17</v>
      </c>
      <c r="C5" t="n">
        <v>12</v>
      </c>
      <c r="D5" t="n">
        <v>2</v>
      </c>
      <c r="E5" t="n">
        <v>2</v>
      </c>
    </row>
    <row r="6">
      <c r="A6" t="inlineStr">
        <is>
          <t>Alejandro Garretón</t>
        </is>
      </c>
      <c r="B6" t="n">
        <v>2</v>
      </c>
      <c r="C6" t="n">
        <v>1</v>
      </c>
      <c r="D6" t="n">
        <v>4</v>
      </c>
      <c r="E6" t="n">
        <v>0</v>
      </c>
    </row>
    <row r="7">
      <c r="A7" t="inlineStr">
        <is>
          <t>Alfred Thiers Jusan</t>
        </is>
      </c>
      <c r="B7" t="n">
        <v>2</v>
      </c>
      <c r="C7" t="n">
        <v>0</v>
      </c>
      <c r="D7" t="n">
        <v>1</v>
      </c>
      <c r="E7" t="n">
        <v>0</v>
      </c>
    </row>
    <row r="8">
      <c r="A8" t="inlineStr">
        <is>
          <t>Andrés Garcés Alzamora</t>
        </is>
      </c>
      <c r="B8" t="n">
        <v>12</v>
      </c>
      <c r="C8" t="n">
        <v>6</v>
      </c>
      <c r="D8" t="n">
        <v>11</v>
      </c>
      <c r="E8" t="n">
        <v>1</v>
      </c>
    </row>
    <row r="9">
      <c r="A9" t="inlineStr">
        <is>
          <t>Anna Braghini</t>
        </is>
      </c>
      <c r="B9" t="n">
        <v>19</v>
      </c>
      <c r="C9" t="n">
        <v>14</v>
      </c>
      <c r="D9" t="n">
        <v>3</v>
      </c>
      <c r="E9" t="n">
        <v>3</v>
      </c>
    </row>
    <row r="10">
      <c r="A10" t="inlineStr">
        <is>
          <t>Arturo Chicano Jiménez</t>
        </is>
      </c>
      <c r="B10" t="n">
        <v>8</v>
      </c>
      <c r="C10" t="n">
        <v>5</v>
      </c>
      <c r="D10" t="n">
        <v>1</v>
      </c>
      <c r="E10" t="n">
        <v>0</v>
      </c>
    </row>
    <row r="11">
      <c r="A11" t="inlineStr">
        <is>
          <t>Daniela Salgado Cofré</t>
        </is>
      </c>
      <c r="B11" t="n">
        <v>17</v>
      </c>
      <c r="C11" t="n">
        <v>10</v>
      </c>
      <c r="D11" t="n">
        <v>19</v>
      </c>
      <c r="E11" t="n">
        <v>12</v>
      </c>
    </row>
    <row r="12">
      <c r="A12" t="inlineStr">
        <is>
          <t>David Luza Cornejo</t>
        </is>
      </c>
      <c r="B12" t="n">
        <v>11</v>
      </c>
      <c r="C12" t="n">
        <v>2</v>
      </c>
      <c r="D12" t="n">
        <v>8</v>
      </c>
      <c r="E12" t="n">
        <v>1</v>
      </c>
    </row>
    <row r="13">
      <c r="A13" t="inlineStr">
        <is>
          <t>Emanuela Di Felice</t>
        </is>
      </c>
      <c r="B13" t="n">
        <v>32</v>
      </c>
      <c r="C13" t="n">
        <v>16</v>
      </c>
      <c r="D13" t="n">
        <v>7</v>
      </c>
      <c r="E13" t="n">
        <v>6</v>
      </c>
    </row>
    <row r="14">
      <c r="A14" t="inlineStr">
        <is>
          <t>Erick Caro</t>
        </is>
      </c>
      <c r="B14" t="n">
        <v>0</v>
      </c>
      <c r="C14" t="n">
        <v>0</v>
      </c>
      <c r="D14" t="n">
        <v>1</v>
      </c>
      <c r="E14" t="n">
        <v>0</v>
      </c>
    </row>
    <row r="15">
      <c r="A15" t="inlineStr">
        <is>
          <t>Herbert Spencer González</t>
        </is>
      </c>
      <c r="B15" t="n">
        <v>32</v>
      </c>
      <c r="C15" t="n">
        <v>17</v>
      </c>
      <c r="D15" t="n">
        <v>19</v>
      </c>
      <c r="E15" t="n">
        <v>4</v>
      </c>
    </row>
    <row r="16">
      <c r="A16" t="inlineStr">
        <is>
          <t>Isabel M. Reyes</t>
        </is>
      </c>
      <c r="B16" t="n">
        <v>4</v>
      </c>
      <c r="C16" t="n">
        <v>1</v>
      </c>
      <c r="D16" t="n">
        <v>1</v>
      </c>
      <c r="E16" t="n">
        <v>0</v>
      </c>
    </row>
    <row r="17">
      <c r="A17" t="inlineStr">
        <is>
          <t>Iván Ivelic Yanes</t>
        </is>
      </c>
      <c r="B17" t="n">
        <v>8</v>
      </c>
      <c r="C17" t="n">
        <v>4</v>
      </c>
      <c r="D17" t="n">
        <v>10</v>
      </c>
      <c r="E17" t="n">
        <v>5</v>
      </c>
    </row>
    <row r="18">
      <c r="A18" t="inlineStr">
        <is>
          <t>Jaime Reyes Gil</t>
        </is>
      </c>
      <c r="B18" t="n">
        <v>19</v>
      </c>
      <c r="C18" t="n">
        <v>7</v>
      </c>
      <c r="D18" t="n">
        <v>7</v>
      </c>
      <c r="E18" t="n">
        <v>4</v>
      </c>
    </row>
    <row r="19">
      <c r="A19" t="inlineStr">
        <is>
          <t>Jorge Ferrada Herrera</t>
        </is>
      </c>
      <c r="B19" t="n">
        <v>5</v>
      </c>
      <c r="C19" t="n">
        <v>2</v>
      </c>
      <c r="D19" t="n">
        <v>1</v>
      </c>
      <c r="E19" t="n">
        <v>1</v>
      </c>
    </row>
    <row r="20">
      <c r="A20" t="inlineStr">
        <is>
          <t>Juan Carlos Jeldes Pontio</t>
        </is>
      </c>
      <c r="B20" t="n">
        <v>12</v>
      </c>
      <c r="C20" t="n">
        <v>4</v>
      </c>
      <c r="D20" t="n">
        <v>10</v>
      </c>
      <c r="E20" t="n">
        <v>3</v>
      </c>
    </row>
    <row r="21">
      <c r="A21" t="inlineStr">
        <is>
          <t>Katherine Exss Cid</t>
        </is>
      </c>
      <c r="B21" t="n">
        <v>30</v>
      </c>
      <c r="C21" t="n">
        <v>21</v>
      </c>
      <c r="D21" t="n">
        <v>15</v>
      </c>
      <c r="E21" t="n">
        <v>6</v>
      </c>
    </row>
    <row r="22">
      <c r="A22" t="inlineStr">
        <is>
          <t>Leonardo Aravena</t>
        </is>
      </c>
      <c r="B22" t="n">
        <v>1</v>
      </c>
      <c r="C22" t="n">
        <v>1</v>
      </c>
      <c r="D22" t="n">
        <v>3</v>
      </c>
      <c r="E22" t="n">
        <v>2</v>
      </c>
    </row>
    <row r="23">
      <c r="A23" t="inlineStr">
        <is>
          <t>Lorena Herrera Ponce</t>
        </is>
      </c>
      <c r="B23" t="n">
        <v>6</v>
      </c>
      <c r="C23" t="n">
        <v>1</v>
      </c>
      <c r="D23" t="n">
        <v>3</v>
      </c>
      <c r="E23" t="n">
        <v>2</v>
      </c>
    </row>
    <row r="24">
      <c r="A24" t="inlineStr">
        <is>
          <t>Manuel Sanfuentes</t>
        </is>
      </c>
      <c r="B24" t="n">
        <v>6</v>
      </c>
      <c r="C24" t="n">
        <v>2</v>
      </c>
      <c r="D24" t="n">
        <v>4</v>
      </c>
      <c r="E24" t="n">
        <v>0</v>
      </c>
    </row>
    <row r="25">
      <c r="A25" t="inlineStr">
        <is>
          <t>Marcelo Araya Aravena</t>
        </is>
      </c>
      <c r="B25" t="n">
        <v>6</v>
      </c>
      <c r="C25" t="n">
        <v>1</v>
      </c>
      <c r="D25" t="n">
        <v>5</v>
      </c>
      <c r="E25" t="n">
        <v>0</v>
      </c>
    </row>
    <row r="26">
      <c r="A26" t="inlineStr">
        <is>
          <t>Michèle Wilkomirsky Uribe</t>
        </is>
      </c>
      <c r="B26" t="n">
        <v>11</v>
      </c>
      <c r="C26" t="n">
        <v>4</v>
      </c>
      <c r="D26" t="n">
        <v>6</v>
      </c>
      <c r="E26" t="n">
        <v>2</v>
      </c>
    </row>
    <row r="27">
      <c r="A27" t="inlineStr">
        <is>
          <t>Rodrigo Saavedra Venegas</t>
        </is>
      </c>
      <c r="B27" t="n">
        <v>10</v>
      </c>
      <c r="C27" t="n">
        <v>2</v>
      </c>
      <c r="D27" t="n">
        <v>9</v>
      </c>
      <c r="E27" t="n">
        <v>3</v>
      </c>
    </row>
    <row r="28">
      <c r="A28" t="inlineStr">
        <is>
          <t>Sylvia Arriagada Cordero</t>
        </is>
      </c>
      <c r="B28" t="n">
        <v>4</v>
      </c>
      <c r="C28" t="n">
        <v>1</v>
      </c>
      <c r="D28" t="n">
        <v>4</v>
      </c>
      <c r="E28" t="n">
        <v>0</v>
      </c>
    </row>
    <row r="29">
      <c r="A29" t="inlineStr">
        <is>
          <t>Ursula Exss Cid</t>
        </is>
      </c>
      <c r="B29" t="n">
        <v>21</v>
      </c>
      <c r="C29" t="n">
        <v>11</v>
      </c>
      <c r="D29" t="n">
        <v>11</v>
      </c>
      <c r="E29" t="n">
        <v>7</v>
      </c>
    </row>
    <row r="30">
      <c r="A30" t="inlineStr">
        <is>
          <t>Álvaro Mercado Jara</t>
        </is>
      </c>
      <c r="B30" t="n">
        <v>18</v>
      </c>
      <c r="C30" t="n">
        <v>13</v>
      </c>
      <c r="D30" t="n">
        <v>17</v>
      </c>
      <c r="E30" t="n">
        <v>11</v>
      </c>
    </row>
    <row r="31">
      <c r="A31" t="inlineStr">
        <is>
          <t>Óscar Andrade Castro</t>
        </is>
      </c>
      <c r="B31" t="n">
        <v>9</v>
      </c>
      <c r="C31" t="n">
        <v>2</v>
      </c>
      <c r="D31" t="n">
        <v>9</v>
      </c>
      <c r="E3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2026-04-29T20:29:43Z</dcterms:created>
  <dcterms:modified xmlns:dcterms="http://purl.org/dc/terms/" xmlns:xsi="http://www.w3.org/2001/XMLSchema-instance" xsi:type="dcterms:W3CDTF">2026-10-07T19:52:32Z</dcterms:modified>
  <cp:lastModifiedBy>Herbert Spencer Gonzalez</cp:lastModifiedBy>
</cp:coreProperties>
</file>